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core use cases" sheetId="2" state="visible" r:id="rId4"/>
    <sheet name="Worked example" sheetId="3" state="visible" r:id="rId5"/>
    <sheet name="Scoring guide"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15" authorId="0">
      <text>
        <r>
          <rPr>
            <sz val="10"/>
            <rFont val="Arial"/>
            <family val="2"/>
          </rPr>
          <t xml:space="preserve">Weights are an opinion, not a measurement. Replace them with whatever your own delivery history supports.</t>
        </r>
      </text>
    </comment>
    <comment ref="B29" authorId="0">
      <text>
        <r>
          <rPr>
            <sz val="10"/>
            <rFont val="Arial"/>
            <family val="2"/>
          </rPr>
          <t xml:space="preserve">Raise this if you are drowning in candidates; lower it if the list is thin.</t>
        </r>
      </text>
    </comment>
    <comment ref="B31" authorId="0">
      <text>
        <r>
          <rPr>
            <sz val="10"/>
            <rFont val="Arial"/>
            <family val="2"/>
          </rPr>
          <t xml:space="preserve">Value is weighted above ease on purpose. Weight them equally and a trivial but effortless task will outrank a valuable one.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Example row - overwrite it with your own first use case.</t>
        </r>
      </text>
    </comment>
  </commentList>
</comments>
</file>

<file path=xl/sharedStrings.xml><?xml version="1.0" encoding="utf-8"?>
<sst xmlns="http://schemas.openxmlformats.org/spreadsheetml/2006/main" count="283" uniqueCount="174">
  <si>
    <t xml:space="preserve">Agentic AI use case scoring sheet</t>
  </si>
  <si>
    <t xml:space="preserve">Companion to Part One of the Relevance AI Agentic AI Series - "What makes a use case good for Agentic AI"</t>
  </si>
  <si>
    <t xml:space="preserve">HOW TO USE THIS SHEET</t>
  </si>
  <si>
    <t xml:space="preserve">1.  Work on the 'Score use cases' tab. Type in the white cells only - every grey cell is a formula.</t>
  </si>
  <si>
    <t xml:space="preserve">2.  Answer the five gates in columns D to H with Y or N. Five Y's means the use case is eligible to build.</t>
  </si>
  <si>
    <t xml:space="preserve">3.  Score the value inputs (K to N) and the effort inputs (Q to T) from 1 to 5. The 'Scoring guide' tab defines every number.</t>
  </si>
  <si>
    <t xml:space="preserve">4.  Columns I to Y fill themselves: gates passed, value index, ease index, quadrant and priority rank.</t>
  </si>
  <si>
    <t xml:space="preserve">5.  Bring the sheet to the ideation session. Let the champion and the executive buyer change scores in front of each other - that argument is the point.</t>
  </si>
  <si>
    <t xml:space="preserve">6.  'Worked example' holds ten scored use cases so you can see what good and bad look like before you start.</t>
  </si>
  <si>
    <t xml:space="preserve">WEIGHTS AND THRESHOLDS</t>
  </si>
  <si>
    <t xml:space="preserve">Yellow cells are yours to change. Every formula on the scoring tabs reads these, so the whole sheet re-ranks the moment you edit one.</t>
  </si>
  <si>
    <t xml:space="preserve">Value inputs</t>
  </si>
  <si>
    <t xml:space="preserve">Weight</t>
  </si>
  <si>
    <t xml:space="preserve">Hours or cost released each year</t>
  </si>
  <si>
    <t xml:space="preserve">Volume of the process</t>
  </si>
  <si>
    <t xml:space="preserve">Strategic pull from the executive buyer</t>
  </si>
  <si>
    <t xml:space="preserve">Quality or risk upside</t>
  </si>
  <si>
    <t xml:space="preserve">Total value weight</t>
  </si>
  <si>
    <t xml:space="preserve">Effort inputs</t>
  </si>
  <si>
    <t xml:space="preserve">Process documentation maturity</t>
  </si>
  <si>
    <t xml:space="preserve">System access and integration count</t>
  </si>
  <si>
    <t xml:space="preserve">Knowledge and data readiness</t>
  </si>
  <si>
    <t xml:space="preserve">Owner availability</t>
  </si>
  <si>
    <t xml:space="preserve">Total effort weight</t>
  </si>
  <si>
    <t xml:space="preserve">Thresholds</t>
  </si>
  <si>
    <t xml:space="preserve">Value</t>
  </si>
  <si>
    <t xml:space="preserve">Value index threshold</t>
  </si>
  <si>
    <t xml:space="preserve">A use case must reach this value index to count as high value.</t>
  </si>
  <si>
    <t xml:space="preserve">Ease index threshold</t>
  </si>
  <si>
    <t xml:space="preserve">A use case must reach this ease index to count as low effort.</t>
  </si>
  <si>
    <t xml:space="preserve">Priority index - weight on value</t>
  </si>
  <si>
    <t xml:space="preserve">How much the priority index leans on value rather than ease.</t>
  </si>
  <si>
    <t xml:space="preserve">Priority index - weight on ease</t>
  </si>
  <si>
    <t xml:space="preserve">The two weights are normalised, so they need not sum to 1.</t>
  </si>
  <si>
    <t xml:space="preserve">WHY THE EFFORT SCALE RUNS THE WAY IT DOES</t>
  </si>
  <si>
    <t xml:space="preserve">Every effort input is scored so that 5 always means hardest. A process with no documentation scores 5. Nine systems to integrate scores 5. The sheet then flips the total into an ease index, so a high ease index means easy to deliver - which is what puts the good candidates in the top-right of the quadrant.</t>
  </si>
  <si>
    <t xml:space="preserve">ASSUMPTIONS AND SOURCES</t>
  </si>
  <si>
    <t xml:space="preserve">The weights and thresholds above are a starting point taken from the article, not an empirical finding. They encode one opinion: that documentation maturity and system access drive delivery effort more than anything else, and that released hours or cost drive value more than anything else. Replace them with whatever your own delivery history supports, and re-rank.</t>
  </si>
  <si>
    <t xml:space="preserve">The ten rows on 'Worked example' are illustrative figures written for the article. They are not customer data.</t>
  </si>
  <si>
    <t xml:space="preserve">Score use cases</t>
  </si>
  <si>
    <t xml:space="preserve">Type in the white cells. Grey cells are formulas - leave them alone. Row 5 is a filled example showing the expected format; overwrite it.</t>
  </si>
  <si>
    <t xml:space="preserve">THE USE CASE</t>
  </si>
  <si>
    <t xml:space="preserve">THE FIVE GATES  -  Y / N</t>
  </si>
  <si>
    <t xml:space="preserve">VALUE  -  score 1 to 5</t>
  </si>
  <si>
    <t xml:space="preserve">EFFORT  -  score 1 to 5, where 5 is hardest</t>
  </si>
  <si>
    <t xml:space="preserve">RESULT</t>
  </si>
  <si>
    <t xml:space="preserve">Use case</t>
  </si>
  <si>
    <t xml:space="preserve">Team / function</t>
  </si>
  <si>
    <t xml:space="preserve">Requested by</t>
  </si>
  <si>
    <t xml:space="preserve">1. High volume</t>
  </si>
  <si>
    <t xml:space="preserve">2. Documented process</t>
  </si>
  <si>
    <t xml:space="preserve">3. Owners in place</t>
  </si>
  <si>
    <t xml:space="preserve">4. System &amp; knowledge context</t>
  </si>
  <si>
    <t xml:space="preserve">5. Measurable impact</t>
  </si>
  <si>
    <t xml:space="preserve">Gates passed</t>
  </si>
  <si>
    <t xml:space="preserve">Eligible to build?</t>
  </si>
  <si>
    <t xml:space="preserve">Hours or cost released</t>
  </si>
  <si>
    <t xml:space="preserve">Volume</t>
  </si>
  <si>
    <t xml:space="preserve">Strategic pull</t>
  </si>
  <si>
    <t xml:space="preserve">Value score</t>
  </si>
  <si>
    <t xml:space="preserve">Value index (0-100)</t>
  </si>
  <si>
    <t xml:space="preserve">Process documentation</t>
  </si>
  <si>
    <t xml:space="preserve">System access &amp; integrations</t>
  </si>
  <si>
    <t xml:space="preserve">Knowledge &amp; data readiness</t>
  </si>
  <si>
    <t xml:space="preserve">Effort score</t>
  </si>
  <si>
    <t xml:space="preserve">Ease index (0-100)</t>
  </si>
  <si>
    <t xml:space="preserve">Quadrant</t>
  </si>
  <si>
    <t xml:space="preserve">Priority index (0-100)</t>
  </si>
  <si>
    <t xml:space="preserve">Priority rank</t>
  </si>
  <si>
    <t xml:space="preserve">Inbound lead qualification and routing</t>
  </si>
  <si>
    <t xml:space="preserve">Sales</t>
  </si>
  <si>
    <t xml:space="preserve">Sales ops lead</t>
  </si>
  <si>
    <t xml:space="preserve">Y</t>
  </si>
  <si>
    <t xml:space="preserve">Worked example</t>
  </si>
  <si>
    <t xml:space="preserve">Ten use cases scored with the same formulas. Four are build-first, three need sequencing, two are capacity fillers and one should be declined. Illustrative figures, not customer data.</t>
  </si>
  <si>
    <t xml:space="preserve">Support ticket triage, tagging and routing</t>
  </si>
  <si>
    <t xml:space="preserve">Support</t>
  </si>
  <si>
    <t xml:space="preserve">Head of support</t>
  </si>
  <si>
    <t xml:space="preserve">First-draft RFP and security questionnaire answers</t>
  </si>
  <si>
    <t xml:space="preserve">Sales / Security</t>
  </si>
  <si>
    <t xml:space="preserve">Deal desk</t>
  </si>
  <si>
    <t xml:space="preserve">Renewal risk brief before every CS review</t>
  </si>
  <si>
    <t xml:space="preserve">Customer success</t>
  </si>
  <si>
    <t xml:space="preserve">CS director</t>
  </si>
  <si>
    <t xml:space="preserve">Weekly competitive digest for the marketing team</t>
  </si>
  <si>
    <t xml:space="preserve">Marketing</t>
  </si>
  <si>
    <t xml:space="preserve">Product marketing</t>
  </si>
  <si>
    <t xml:space="preserve">N</t>
  </si>
  <si>
    <t xml:space="preserve">Invoice exception handling</t>
  </si>
  <si>
    <t xml:space="preserve">Finance</t>
  </si>
  <si>
    <t xml:space="preserve">Financial controller</t>
  </si>
  <si>
    <t xml:space="preserve">End-to-end contract negotiation</t>
  </si>
  <si>
    <t xml:space="preserve">Legal</t>
  </si>
  <si>
    <t xml:space="preserve">General counsel</t>
  </si>
  <si>
    <t xml:space="preserve">Autonomous month-end financial close</t>
  </si>
  <si>
    <t xml:space="preserve">CFO</t>
  </si>
  <si>
    <t xml:space="preserve">Tidying up meeting notes</t>
  </si>
  <si>
    <t xml:space="preserve">Everyone</t>
  </si>
  <si>
    <t xml:space="preserve">Chief of staff</t>
  </si>
  <si>
    <t xml:space="preserve">Make our strategy process AI-powered</t>
  </si>
  <si>
    <t xml:space="preserve">Executive</t>
  </si>
  <si>
    <t xml:space="preserve">CEO</t>
  </si>
  <si>
    <t xml:space="preserve">Scoring guide</t>
  </si>
  <si>
    <t xml:space="preserve">What each number means, so two people scoring the same use case land in the </t>
  </si>
  <si>
    <t xml:space="preserve">same place. Print this and put it on the wall during ideation.</t>
  </si>
  <si>
    <t xml:space="preserve">THE FIVE GATES  -  answered Y or N</t>
  </si>
  <si>
    <t xml:space="preserve">Gate</t>
  </si>
  <si>
    <t xml:space="preserve">The question</t>
  </si>
  <si>
    <t xml:space="preserve">What a Y looks like</t>
  </si>
  <si>
    <t xml:space="preserve">What an N looks like</t>
  </si>
  <si>
    <t xml:space="preserve">Does this happen often enough for the payback to arrive?</t>
  </si>
  <si>
    <t xml:space="preserve">PASS: the team can state a weekly or monthly count, and it is material.</t>
  </si>
  <si>
    <t xml:space="preserve">FAIL: a handful of times a year, or nobody can put a number on it.</t>
  </si>
  <si>
    <t xml:space="preserve">Is there a process to automate, or only a habit?</t>
  </si>
  <si>
    <t xml:space="preserve">PASS: an SOP, checklist, decision tree or screen recording exists today.</t>
  </si>
  <si>
    <t xml:space="preserve">FAIL: it lives in one person's head, or two people describe it differently.</t>
  </si>
  <si>
    <t xml:space="preserve">Is there someone to accept the output and someone to open the doors?</t>
  </si>
  <si>
    <t xml:space="preserve">PASS: a named business owner and a named technical owner, both with time.</t>
  </si>
  <si>
    <t xml:space="preserve">FAIL: an interested executive and nobody accountable underneath.</t>
  </si>
  <si>
    <t xml:space="preserve">Can the agent reach what it must read to be right?</t>
  </si>
  <si>
    <t xml:space="preserve">PASS: the systems, documents and definitions are identified and reachable.</t>
  </si>
  <si>
    <t xml:space="preserve">FAIL: the context is in people's heads, old decks or a system nobody can open.</t>
  </si>
  <si>
    <t xml:space="preserve">Will anyone be able to prove it worked?</t>
  </si>
  <si>
    <t xml:space="preserve">PASS: a metric that already exists and is already reported.</t>
  </si>
  <si>
    <t xml:space="preserve">FAIL: a new metric would have to be invented to show the benefit.</t>
  </si>
  <si>
    <t xml:space="preserve">VALUE INPUTS  -  scored 1 to 5, where 5 is best</t>
  </si>
  <si>
    <t xml:space="preserve">Input</t>
  </si>
  <si>
    <t xml:space="preserve">1</t>
  </si>
  <si>
    <t xml:space="preserve">2</t>
  </si>
  <si>
    <t xml:space="preserve">3</t>
  </si>
  <si>
    <t xml:space="preserve">4</t>
  </si>
  <si>
    <t xml:space="preserve">5</t>
  </si>
  <si>
    <t xml:space="preserve">Under 100 hours</t>
  </si>
  <si>
    <t xml:space="preserve">100-500 hours</t>
  </si>
  <si>
    <t xml:space="preserve">500-2,000 hours</t>
  </si>
  <si>
    <t xml:space="preserve">2,000-10,000 hours</t>
  </si>
  <si>
    <t xml:space="preserve">Over 10,000 hours or a named cost line</t>
  </si>
  <si>
    <t xml:space="preserve">A few times a year</t>
  </si>
  <si>
    <t xml:space="preserve">Monthly</t>
  </si>
  <si>
    <t xml:space="preserve">Weekly</t>
  </si>
  <si>
    <t xml:space="preserve">Daily</t>
  </si>
  <si>
    <t xml:space="preserve">Hundreds of times a day</t>
  </si>
  <si>
    <t xml:space="preserve">They have not mentioned it</t>
  </si>
  <si>
    <t xml:space="preserve">They agree it matters</t>
  </si>
  <si>
    <t xml:space="preserve">It is on their roadmap</t>
  </si>
  <si>
    <t xml:space="preserve">It is one of their top three</t>
  </si>
  <si>
    <t xml:space="preserve">It is what they were hired to fix</t>
  </si>
  <si>
    <t xml:space="preserve">None beyond speed</t>
  </si>
  <si>
    <t xml:space="preserve">Fewer small errors</t>
  </si>
  <si>
    <t xml:space="preserve">Measurably better consistency</t>
  </si>
  <si>
    <t xml:space="preserve">Removes a known compliance risk</t>
  </si>
  <si>
    <t xml:space="preserve">Removes a risk that has already cost money</t>
  </si>
  <si>
    <t xml:space="preserve">EFFORT INPUTS  -  scored 1 to 5, where 5 is hardest</t>
  </si>
  <si>
    <t xml:space="preserve">Current SOP, followed as written</t>
  </si>
  <si>
    <t xml:space="preserve">Written down but out of date</t>
  </si>
  <si>
    <t xml:space="preserve">Partly written, partly folklore</t>
  </si>
  <si>
    <t xml:space="preserve">One person knows it</t>
  </si>
  <si>
    <t xml:space="preserve">Nobody agrees what the process is</t>
  </si>
  <si>
    <t xml:space="preserve">One system, access already granted</t>
  </si>
  <si>
    <t xml:space="preserve">Two systems, standard connectors</t>
  </si>
  <si>
    <t xml:space="preserve">Three or four systems, one custom</t>
  </si>
  <si>
    <t xml:space="preserve">Five or more, or one legacy system</t>
  </si>
  <si>
    <t xml:space="preserve">Access requires a security review with no owner</t>
  </si>
  <si>
    <t xml:space="preserve">Clean, current, in one place</t>
  </si>
  <si>
    <t xml:space="preserve">Clean but spread across two places</t>
  </si>
  <si>
    <t xml:space="preserve">Needs light cleanup</t>
  </si>
  <si>
    <t xml:space="preserve">Scattered and inconsistent</t>
  </si>
  <si>
    <t xml:space="preserve">Does not exist in retrievable form</t>
  </si>
  <si>
    <t xml:space="preserve">Dedicated time booked</t>
  </si>
  <si>
    <t xml:space="preserve">A few hours a week</t>
  </si>
  <si>
    <t xml:space="preserve">Willing but overloaded</t>
  </si>
  <si>
    <t xml:space="preserve">Interested, no time</t>
  </si>
  <si>
    <t xml:space="preserve">No owner identified</t>
  </si>
  <si>
    <t xml:space="preserve">Anchors are deliberately concrete. "High volume" is an argument; "between 500 and 2,000 hours a year" is a score two people can agree on.</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</si>
</sst>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6"/>
      <color rgb="FF0C162F"/>
      <name val="Arial"/>
      <family val="0"/>
      <charset val="1"/>
    </font>
    <font>
      <i val="true"/>
      <sz val="10"/>
      <color rgb="FF52514E"/>
      <name val="Arial"/>
      <family val="0"/>
      <charset val="1"/>
    </font>
    <font>
      <b val="true"/>
      <sz val="11"/>
      <color rgb="FF0C162F"/>
      <name val="Arial"/>
      <family val="0"/>
      <charset val="1"/>
    </font>
    <font>
      <sz val="10"/>
      <color rgb="FF0C162F"/>
      <name val="Arial"/>
      <family val="0"/>
      <charset val="1"/>
    </font>
    <font>
      <sz val="9"/>
      <color rgb="FF52514E"/>
      <name val="Arial"/>
      <family val="0"/>
      <charset val="1"/>
    </font>
    <font>
      <sz val="10"/>
      <color rgb="FF0000FF"/>
      <name val="Arial"/>
      <family val="0"/>
      <charset val="1"/>
    </font>
    <font>
      <sz val="10"/>
      <color rgb="FF52514E"/>
      <name val="Arial"/>
      <family val="0"/>
      <charset val="1"/>
    </font>
    <font>
      <sz val="10"/>
      <name val="Arial"/>
      <family val="2"/>
    </font>
    <font>
      <b val="true"/>
      <sz val="9"/>
      <color rgb="FFFFFFFF"/>
      <name val="Arial"/>
      <family val="0"/>
      <charset val="1"/>
    </font>
    <font>
      <b val="true"/>
      <sz val="9"/>
      <color rgb="FF0C162F"/>
      <name val="Arial"/>
      <family val="0"/>
      <charset val="1"/>
    </font>
  </fonts>
  <fills count="10">
    <fill>
      <patternFill patternType="none"/>
    </fill>
    <fill>
      <patternFill patternType="gray125"/>
    </fill>
    <fill>
      <patternFill patternType="solid">
        <fgColor rgb="FFFFF3B0"/>
        <bgColor rgb="FFF4F4F2"/>
      </patternFill>
    </fill>
    <fill>
      <patternFill patternType="solid">
        <fgColor rgb="FFF4F4F2"/>
        <bgColor rgb="FFEEF2FF"/>
      </patternFill>
    </fill>
    <fill>
      <patternFill patternType="solid">
        <fgColor rgb="FF0C162F"/>
        <bgColor rgb="FF000000"/>
      </patternFill>
    </fill>
    <fill>
      <patternFill patternType="solid">
        <fgColor rgb="FF5F56FF"/>
        <bgColor rgb="FF4F45DC"/>
      </patternFill>
    </fill>
    <fill>
      <patternFill patternType="solid">
        <fgColor rgb="FF4F45DC"/>
        <bgColor rgb="FF5F56FF"/>
      </patternFill>
    </fill>
    <fill>
      <patternFill patternType="solid">
        <fgColor rgb="FF6E6FFF"/>
        <bgColor rgb="FF5F56FF"/>
      </patternFill>
    </fill>
    <fill>
      <patternFill patternType="solid">
        <fgColor rgb="FFEEF2FF"/>
        <bgColor rgb="FFF4F4F2"/>
      </patternFill>
    </fill>
    <fill>
      <patternFill patternType="solid">
        <fgColor rgb="FFFFFFFF"/>
        <bgColor rgb="FFF4F4F2"/>
      </patternFill>
    </fill>
  </fills>
  <borders count="2">
    <border diagonalUp="false" diagonalDown="false">
      <left/>
      <right/>
      <top/>
      <bottom/>
      <diagonal/>
    </border>
    <border diagonalUp="false" diagonalDown="false">
      <left style="thin">
        <color rgb="FFD6D6D0"/>
      </left>
      <right style="thin">
        <color rgb="FFD6D6D0"/>
      </right>
      <top style="thin">
        <color rgb="FFD6D6D0"/>
      </top>
      <bottom style="thin">
        <color rgb="FFD6D6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2" fillId="5" borderId="0"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DDE4FF"/>
        </patternFill>
      </fill>
    </dxf>
    <dxf>
      <fill>
        <patternFill>
          <bgColor rgb="FFE5EBFF"/>
        </patternFill>
      </fill>
    </dxf>
    <dxf>
      <fill>
        <patternFill>
          <bgColor rgb="FFEEF2FF"/>
        </patternFill>
      </fill>
    </dxf>
    <dxf>
      <fill>
        <patternFill>
          <bgColor rgb="FFEBEDEF"/>
        </patternFill>
      </fill>
    </dxf>
    <dxf>
      <font>
        <name val="Arial"/>
        <charset val="1"/>
        <family val="0"/>
        <b val="1"/>
        <color rgb="FF0CA30C"/>
        <sz val="10"/>
      </font>
    </dxf>
    <dxf>
      <font>
        <name val="Arial"/>
        <charset val="1"/>
        <family val="0"/>
        <color rgb="FFD03B3B"/>
        <sz val="10"/>
      </font>
    </dxf>
  </dxfs>
  <colors>
    <indexedColors>
      <rgbColor rgb="FF000000"/>
      <rgbColor rgb="FFFFFFFF"/>
      <rgbColor rgb="FFFF0000"/>
      <rgbColor rgb="FF00FF00"/>
      <rgbColor rgb="FF0000FF"/>
      <rgbColor rgb="FFFFFF00"/>
      <rgbColor rgb="FFFF00FF"/>
      <rgbColor rgb="FF00FFFF"/>
      <rgbColor rgb="FF800000"/>
      <rgbColor rgb="FF0CA30C"/>
      <rgbColor rgb="FF000080"/>
      <rgbColor rgb="FF808000"/>
      <rgbColor rgb="FF800080"/>
      <rgbColor rgb="FF008080"/>
      <rgbColor rgb="FFDDE4FF"/>
      <rgbColor rgb="FF808080"/>
      <rgbColor rgb="FF9999FF"/>
      <rgbColor rgb="FFD03B3B"/>
      <rgbColor rgb="FFF4F4F2"/>
      <rgbColor rgb="FFE5EBFF"/>
      <rgbColor rgb="FF660066"/>
      <rgbColor rgb="FFFF8080"/>
      <rgbColor rgb="FF0066CC"/>
      <rgbColor rgb="FFD6D6D0"/>
      <rgbColor rgb="FF000080"/>
      <rgbColor rgb="FFFF00FF"/>
      <rgbColor rgb="FFFFFF00"/>
      <rgbColor rgb="FF00FFFF"/>
      <rgbColor rgb="FF800080"/>
      <rgbColor rgb="FF800000"/>
      <rgbColor rgb="FF008080"/>
      <rgbColor rgb="FF0000FF"/>
      <rgbColor rgb="FF00CCFF"/>
      <rgbColor rgb="FFEEF2FF"/>
      <rgbColor rgb="FFEBEDEF"/>
      <rgbColor rgb="FFFFF3B0"/>
      <rgbColor rgb="FF99CCFF"/>
      <rgbColor rgb="FFFF99CC"/>
      <rgbColor rgb="FFCC99FF"/>
      <rgbColor rgb="FFFFCC99"/>
      <rgbColor rgb="FF5F56FF"/>
      <rgbColor rgb="FF33CCCC"/>
      <rgbColor rgb="FF99CC00"/>
      <rgbColor rgb="FFFFCC00"/>
      <rgbColor rgb="FFFF9900"/>
      <rgbColor rgb="FFFF6600"/>
      <rgbColor rgb="FF6E6FFF"/>
      <rgbColor rgb="FF969696"/>
      <rgbColor rgb="FF003366"/>
      <rgbColor rgb="FF339966"/>
      <rgbColor rgb="FF0C162F"/>
      <rgbColor rgb="FF333300"/>
      <rgbColor rgb="FF993300"/>
      <rgbColor rgb="FF993366"/>
      <rgbColor rgb="FF4F45DC"/>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3" min="3" style="0" width="70"/>
  </cols>
  <sheetData>
    <row r="1" customFormat="false" ht="19.7" hidden="false" customHeight="false" outlineLevel="0" collapsed="false">
      <c r="A1" s="1" t="s">
        <v>0</v>
      </c>
    </row>
    <row r="2" customFormat="false" ht="23.8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row>
    <row r="6" customFormat="false" ht="23.85" hidden="false" customHeight="false" outlineLevel="0" collapsed="false">
      <c r="A6" s="4" t="s">
        <v>4</v>
      </c>
    </row>
    <row r="7" customFormat="false" ht="23.85" hidden="false" customHeight="false" outlineLevel="0" collapsed="false">
      <c r="A7" s="4" t="s">
        <v>5</v>
      </c>
    </row>
    <row r="8" customFormat="false" ht="23.85" hidden="false" customHeight="false" outlineLevel="0" collapsed="false">
      <c r="A8" s="4" t="s">
        <v>6</v>
      </c>
    </row>
    <row r="9" customFormat="false" ht="35.05" hidden="false" customHeight="false" outlineLevel="0" collapsed="false">
      <c r="A9" s="4" t="s">
        <v>7</v>
      </c>
    </row>
    <row r="10" customFormat="false" ht="23.85" hidden="false" customHeight="false" outlineLevel="0" collapsed="false">
      <c r="A10" s="4" t="s">
        <v>8</v>
      </c>
    </row>
    <row r="12" customFormat="false" ht="22.35" hidden="false" customHeight="false" outlineLevel="0" collapsed="false">
      <c r="A12" s="3" t="s">
        <v>9</v>
      </c>
      <c r="C12" s="5" t="s">
        <v>10</v>
      </c>
    </row>
    <row r="14" customFormat="false" ht="15" hidden="false" customHeight="false" outlineLevel="0" collapsed="false">
      <c r="A14" s="6" t="s">
        <v>11</v>
      </c>
      <c r="B14" s="7" t="s">
        <v>12</v>
      </c>
    </row>
    <row r="15" customFormat="false" ht="15" hidden="false" customHeight="false" outlineLevel="0" collapsed="false">
      <c r="A15" s="8" t="s">
        <v>13</v>
      </c>
      <c r="B15" s="9" t="n">
        <v>3</v>
      </c>
    </row>
    <row r="16" customFormat="false" ht="15" hidden="false" customHeight="false" outlineLevel="0" collapsed="false">
      <c r="A16" s="8" t="s">
        <v>14</v>
      </c>
      <c r="B16" s="9" t="n">
        <v>2</v>
      </c>
    </row>
    <row r="17" customFormat="false" ht="15" hidden="false" customHeight="false" outlineLevel="0" collapsed="false">
      <c r="A17" s="8" t="s">
        <v>15</v>
      </c>
      <c r="B17" s="9" t="n">
        <v>2</v>
      </c>
    </row>
    <row r="18" customFormat="false" ht="15" hidden="false" customHeight="false" outlineLevel="0" collapsed="false">
      <c r="A18" s="8" t="s">
        <v>16</v>
      </c>
      <c r="B18" s="9" t="n">
        <v>1</v>
      </c>
    </row>
    <row r="19" customFormat="false" ht="15" hidden="false" customHeight="false" outlineLevel="0" collapsed="false">
      <c r="A19" s="10" t="s">
        <v>17</v>
      </c>
      <c r="B19" s="11" t="n">
        <f aca="false">SUM(B15:B18)</f>
        <v>8</v>
      </c>
    </row>
    <row r="21" customFormat="false" ht="15" hidden="false" customHeight="false" outlineLevel="0" collapsed="false">
      <c r="A21" s="6" t="s">
        <v>18</v>
      </c>
      <c r="B21" s="7" t="s">
        <v>12</v>
      </c>
    </row>
    <row r="22" customFormat="false" ht="15" hidden="false" customHeight="false" outlineLevel="0" collapsed="false">
      <c r="A22" s="8" t="s">
        <v>19</v>
      </c>
      <c r="B22" s="9" t="n">
        <v>3</v>
      </c>
    </row>
    <row r="23" customFormat="false" ht="15" hidden="false" customHeight="false" outlineLevel="0" collapsed="false">
      <c r="A23" s="8" t="s">
        <v>20</v>
      </c>
      <c r="B23" s="9" t="n">
        <v>3</v>
      </c>
    </row>
    <row r="24" customFormat="false" ht="15" hidden="false" customHeight="false" outlineLevel="0" collapsed="false">
      <c r="A24" s="8" t="s">
        <v>21</v>
      </c>
      <c r="B24" s="9" t="n">
        <v>2</v>
      </c>
    </row>
    <row r="25" customFormat="false" ht="15" hidden="false" customHeight="false" outlineLevel="0" collapsed="false">
      <c r="A25" s="8" t="s">
        <v>22</v>
      </c>
      <c r="B25" s="9" t="n">
        <v>1</v>
      </c>
    </row>
    <row r="26" customFormat="false" ht="15" hidden="false" customHeight="false" outlineLevel="0" collapsed="false">
      <c r="A26" s="10" t="s">
        <v>23</v>
      </c>
      <c r="B26" s="11" t="n">
        <f aca="false">SUM(B22:B25)</f>
        <v>9</v>
      </c>
    </row>
    <row r="28" customFormat="false" ht="15" hidden="false" customHeight="false" outlineLevel="0" collapsed="false">
      <c r="A28" s="6" t="s">
        <v>24</v>
      </c>
      <c r="B28" s="7" t="s">
        <v>25</v>
      </c>
    </row>
    <row r="29" customFormat="false" ht="15" hidden="false" customHeight="false" outlineLevel="0" collapsed="false">
      <c r="A29" s="8" t="s">
        <v>26</v>
      </c>
      <c r="B29" s="9" t="n">
        <v>50</v>
      </c>
      <c r="C29" s="5" t="s">
        <v>27</v>
      </c>
    </row>
    <row r="30" customFormat="false" ht="15" hidden="false" customHeight="false" outlineLevel="0" collapsed="false">
      <c r="A30" s="8" t="s">
        <v>28</v>
      </c>
      <c r="B30" s="9" t="n">
        <v>50</v>
      </c>
      <c r="C30" s="5" t="s">
        <v>29</v>
      </c>
    </row>
    <row r="31" customFormat="false" ht="15" hidden="false" customHeight="false" outlineLevel="0" collapsed="false">
      <c r="A31" s="8" t="s">
        <v>30</v>
      </c>
      <c r="B31" s="12" t="n">
        <v>0.65</v>
      </c>
      <c r="C31" s="5" t="s">
        <v>31</v>
      </c>
    </row>
    <row r="32" customFormat="false" ht="15" hidden="false" customHeight="false" outlineLevel="0" collapsed="false">
      <c r="A32" s="8" t="s">
        <v>32</v>
      </c>
      <c r="B32" s="12" t="n">
        <v>0.35</v>
      </c>
      <c r="C32" s="5" t="s">
        <v>33</v>
      </c>
    </row>
    <row r="34" customFormat="false" ht="15" hidden="false" customHeight="false" outlineLevel="0" collapsed="false">
      <c r="A34" s="3" t="s">
        <v>34</v>
      </c>
    </row>
    <row r="35" customFormat="false" ht="57.45" hidden="false" customHeight="false" outlineLevel="0" collapsed="false">
      <c r="A35" s="4" t="s">
        <v>35</v>
      </c>
    </row>
    <row r="37" customFormat="false" ht="15" hidden="false" customHeight="false" outlineLevel="0" collapsed="false">
      <c r="A37" s="3" t="s">
        <v>36</v>
      </c>
    </row>
    <row r="38" customFormat="false" ht="57.45" hidden="false" customHeight="false" outlineLevel="0" collapsed="false">
      <c r="A38" s="4" t="s">
        <v>37</v>
      </c>
    </row>
    <row r="39" customFormat="false" ht="23.85" hidden="false" customHeight="false" outlineLevel="0" collapsed="false">
      <c r="A39" s="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9" min="9" style="0" width="9"/>
    <col collapsed="false" customWidth="true" hidden="false" outlineLevel="0" max="10" min="10" style="0" width="17"/>
    <col collapsed="false" customWidth="true" hidden="false" outlineLevel="0" max="11" min="11" style="0" width="11"/>
    <col collapsed="false" customWidth="true" hidden="false" outlineLevel="0" max="12" min="12" style="0" width="8"/>
    <col collapsed="false" customWidth="true" hidden="false" outlineLevel="0" max="13" min="13" style="0" width="10"/>
    <col collapsed="false" customWidth="true" hidden="false" outlineLevel="0" max="14" min="14" style="0" width="11"/>
    <col collapsed="false" customWidth="true" hidden="false" outlineLevel="0" max="15" min="15" style="0" width="9"/>
    <col collapsed="false" customWidth="true" hidden="false" outlineLevel="0" max="17" min="16" style="0" width="11"/>
    <col collapsed="false" customWidth="true" hidden="false" outlineLevel="0" max="18" min="18" style="0" width="13"/>
    <col collapsed="false" customWidth="true" hidden="false" outlineLevel="0" max="19" min="19" style="0" width="12"/>
    <col collapsed="false" customWidth="true" hidden="false" outlineLevel="0" max="20" min="20" style="0" width="10"/>
    <col collapsed="false" customWidth="true" hidden="false" outlineLevel="0" max="21" min="21" style="0" width="9"/>
    <col collapsed="false" customWidth="true" hidden="false" outlineLevel="0" max="22" min="22" style="0" width="11"/>
    <col collapsed="false" customWidth="true" hidden="false" outlineLevel="0" max="23" min="23" style="0" width="16"/>
    <col collapsed="false" customWidth="true" hidden="false" outlineLevel="0" max="24" min="24" style="0" width="11"/>
    <col collapsed="false" customWidth="true" hidden="false" outlineLevel="0" max="25" min="25" style="0" width="9"/>
  </cols>
  <sheetData>
    <row r="1" customFormat="false" ht="24" hidden="false" customHeight="true" outlineLevel="0" collapsed="false">
      <c r="A1" s="13" t="s">
        <v>39</v>
      </c>
    </row>
    <row r="2" customFormat="false" ht="15.75" hidden="false" customHeight="true" outlineLevel="0" collapsed="false">
      <c r="A2" s="14" t="s">
        <v>40</v>
      </c>
    </row>
    <row r="3" customFormat="false" ht="19.5" hidden="false" customHeight="true" outlineLevel="0" collapsed="false">
      <c r="A3" s="15" t="s">
        <v>41</v>
      </c>
      <c r="B3" s="15"/>
      <c r="C3" s="15"/>
      <c r="D3" s="16" t="s">
        <v>42</v>
      </c>
      <c r="E3" s="16"/>
      <c r="F3" s="16"/>
      <c r="G3" s="16"/>
      <c r="H3" s="16"/>
      <c r="I3" s="16"/>
      <c r="J3" s="16"/>
      <c r="K3" s="17" t="s">
        <v>43</v>
      </c>
      <c r="L3" s="17"/>
      <c r="M3" s="17"/>
      <c r="N3" s="17"/>
      <c r="O3" s="17"/>
      <c r="P3" s="17"/>
      <c r="Q3" s="18" t="s">
        <v>44</v>
      </c>
      <c r="R3" s="18"/>
      <c r="S3" s="18"/>
      <c r="T3" s="18"/>
      <c r="U3" s="18"/>
      <c r="V3" s="18"/>
      <c r="W3" s="15" t="s">
        <v>45</v>
      </c>
      <c r="X3" s="15"/>
      <c r="Y3" s="15"/>
    </row>
    <row r="4" customFormat="false" ht="54" hidden="false" customHeight="true" outlineLevel="0" collapsed="false">
      <c r="A4" s="19" t="s">
        <v>46</v>
      </c>
      <c r="B4" s="19" t="s">
        <v>47</v>
      </c>
      <c r="C4" s="19" t="s">
        <v>48</v>
      </c>
      <c r="D4" s="19" t="s">
        <v>49</v>
      </c>
      <c r="E4" s="19" t="s">
        <v>50</v>
      </c>
      <c r="F4" s="19" t="s">
        <v>51</v>
      </c>
      <c r="G4" s="19" t="s">
        <v>52</v>
      </c>
      <c r="H4" s="19" t="s">
        <v>53</v>
      </c>
      <c r="I4" s="20" t="s">
        <v>54</v>
      </c>
      <c r="J4" s="20" t="s">
        <v>55</v>
      </c>
      <c r="K4" s="19" t="s">
        <v>56</v>
      </c>
      <c r="L4" s="19" t="s">
        <v>57</v>
      </c>
      <c r="M4" s="19" t="s">
        <v>58</v>
      </c>
      <c r="N4" s="19" t="s">
        <v>16</v>
      </c>
      <c r="O4" s="20" t="s">
        <v>59</v>
      </c>
      <c r="P4" s="20" t="s">
        <v>60</v>
      </c>
      <c r="Q4" s="19" t="s">
        <v>61</v>
      </c>
      <c r="R4" s="19" t="s">
        <v>62</v>
      </c>
      <c r="S4" s="19" t="s">
        <v>63</v>
      </c>
      <c r="T4" s="19" t="s">
        <v>22</v>
      </c>
      <c r="U4" s="20" t="s">
        <v>64</v>
      </c>
      <c r="V4" s="20" t="s">
        <v>65</v>
      </c>
      <c r="W4" s="19" t="s">
        <v>66</v>
      </c>
      <c r="X4" s="20" t="s">
        <v>67</v>
      </c>
      <c r="Y4" s="20" t="s">
        <v>68</v>
      </c>
    </row>
    <row r="5" customFormat="false" ht="30" hidden="false" customHeight="true" outlineLevel="0" collapsed="false">
      <c r="A5" s="21" t="s">
        <v>69</v>
      </c>
      <c r="B5" s="22" t="s">
        <v>70</v>
      </c>
      <c r="C5" s="22" t="s">
        <v>71</v>
      </c>
      <c r="D5" s="23" t="s">
        <v>72</v>
      </c>
      <c r="E5" s="23" t="s">
        <v>72</v>
      </c>
      <c r="F5" s="23" t="s">
        <v>72</v>
      </c>
      <c r="G5" s="23" t="s">
        <v>72</v>
      </c>
      <c r="H5" s="23" t="s">
        <v>72</v>
      </c>
      <c r="I5" s="11" t="n">
        <f aca="false">IF($A5="","",COUNTIF($D5:$H5,"Y"))</f>
        <v>5</v>
      </c>
      <c r="J5" s="24" t="str">
        <f aca="false">IF($A5="","",IF($I5=5,"Yes - all five gates","No - close "&amp;(5-$I5)&amp;" gap(s) first"))</f>
        <v>Yes - all five gates</v>
      </c>
      <c r="K5" s="23" t="n">
        <v>5</v>
      </c>
      <c r="L5" s="23" t="n">
        <v>5</v>
      </c>
      <c r="M5" s="23" t="n">
        <v>4</v>
      </c>
      <c r="N5" s="23" t="n">
        <v>4</v>
      </c>
      <c r="O5" s="11" t="n">
        <f aca="false">IF($A5="","",$K5*'Read me'!$B$15+$L5*'Read me'!$B$16+$M5*'Read me'!$B$17+$N5*'Read me'!$B$18)</f>
        <v>37</v>
      </c>
      <c r="P5" s="25" t="n">
        <f aca="false">IF($A5="","",IFERROR(($O5-'Read me'!$B$19)/('Read me'!$B$19*4)*100,""))</f>
        <v>90.625</v>
      </c>
      <c r="Q5" s="23" t="n">
        <v>2</v>
      </c>
      <c r="R5" s="23" t="n">
        <v>2</v>
      </c>
      <c r="S5" s="23" t="n">
        <v>2</v>
      </c>
      <c r="T5" s="23" t="n">
        <v>1</v>
      </c>
      <c r="U5" s="11" t="n">
        <f aca="false">IF($A5="","",$Q5*'Read me'!$B$22+$R5*'Read me'!$B$23+$S5*'Read me'!$B$24+$T5*'Read me'!$B$25)</f>
        <v>17</v>
      </c>
      <c r="V5" s="25" t="n">
        <f aca="false">IF($A5="","",IFERROR(100-(($U5-'Read me'!$B$26)/('Read me'!$B$26*4)*100),""))</f>
        <v>77.7777777777778</v>
      </c>
      <c r="W5" s="24" t="str">
        <f aca="false">IF($A5="","",IF(AND($P5&gt;='Read me'!$B$29,$V5&gt;='Read me'!$B$30),"Build first",IF(AND($P5&gt;='Read me'!$B$29,$V5&lt;'Read me'!$B$30),"Sequence later",IF(AND($P5&lt;'Read me'!$B$29,$V5&gt;='Read me'!$B$30),"Fill capacity","Decline"))))</f>
        <v>Build first</v>
      </c>
      <c r="X5" s="25" t="n">
        <f aca="false">IF($A5="","",IFERROR(($P5*'Read me'!$B$31+$V5*'Read me'!$B$32)/('Read me'!$B$31+'Read me'!$B$32),""))</f>
        <v>86.1284722222222</v>
      </c>
      <c r="Y5" s="11" t="n">
        <f aca="false">IF($A5="","",SUMPRODUCT(ISNUMBER($X$5:$X$34)*($X$5:$X$34&gt;$X5))+1)</f>
        <v>1</v>
      </c>
    </row>
    <row r="6" customFormat="false" ht="30" hidden="false" customHeight="true" outlineLevel="0" collapsed="false">
      <c r="A6" s="21"/>
      <c r="B6" s="22"/>
      <c r="C6" s="22"/>
      <c r="D6" s="23"/>
      <c r="E6" s="23"/>
      <c r="F6" s="23"/>
      <c r="G6" s="23"/>
      <c r="H6" s="23"/>
      <c r="I6" s="11" t="str">
        <f aca="false">IF($A6="","",COUNTIF($D6:$H6,"Y"))</f>
        <v/>
      </c>
      <c r="J6" s="24" t="str">
        <f aca="false">IF($A6="","",IF($I6=5,"Yes - all five gates","No - close "&amp;(5-$I6)&amp;" gap(s) first"))</f>
        <v/>
      </c>
      <c r="K6" s="23"/>
      <c r="L6" s="23"/>
      <c r="M6" s="23"/>
      <c r="N6" s="23"/>
      <c r="O6" s="11" t="str">
        <f aca="false">IF($A6="","",$K6*'Read me'!$B$15+$L6*'Read me'!$B$16+$M6*'Read me'!$B$17+$N6*'Read me'!$B$18)</f>
        <v/>
      </c>
      <c r="P6" s="25" t="str">
        <f aca="false">IF($A6="","",IFERROR(($O6-'Read me'!$B$19)/('Read me'!$B$19*4)*100,""))</f>
        <v/>
      </c>
      <c r="Q6" s="23"/>
      <c r="R6" s="23"/>
      <c r="S6" s="23"/>
      <c r="T6" s="23"/>
      <c r="U6" s="11" t="str">
        <f aca="false">IF($A6="","",$Q6*'Read me'!$B$22+$R6*'Read me'!$B$23+$S6*'Read me'!$B$24+$T6*'Read me'!$B$25)</f>
        <v/>
      </c>
      <c r="V6" s="25" t="str">
        <f aca="false">IF($A6="","",IFERROR(100-(($U6-'Read me'!$B$26)/('Read me'!$B$26*4)*100),""))</f>
        <v/>
      </c>
      <c r="W6" s="24" t="str">
        <f aca="false">IF($A6="","",IF(AND($P6&gt;='Read me'!$B$29,$V6&gt;='Read me'!$B$30),"Build first",IF(AND($P6&gt;='Read me'!$B$29,$V6&lt;'Read me'!$B$30),"Sequence later",IF(AND($P6&lt;'Read me'!$B$29,$V6&gt;='Read me'!$B$30),"Fill capacity","Decline"))))</f>
        <v/>
      </c>
      <c r="X6" s="25" t="str">
        <f aca="false">IF($A6="","",IFERROR(($P6*'Read me'!$B$31+$V6*'Read me'!$B$32)/('Read me'!$B$31+'Read me'!$B$32),""))</f>
        <v/>
      </c>
      <c r="Y6" s="11" t="str">
        <f aca="false">IF($A6="","",SUMPRODUCT(ISNUMBER($X$5:$X$34)*($X$5:$X$34&gt;$X6))+1)</f>
        <v/>
      </c>
    </row>
    <row r="7" customFormat="false" ht="30" hidden="false" customHeight="true" outlineLevel="0" collapsed="false">
      <c r="A7" s="21"/>
      <c r="B7" s="22"/>
      <c r="C7" s="22"/>
      <c r="D7" s="23"/>
      <c r="E7" s="23"/>
      <c r="F7" s="23"/>
      <c r="G7" s="23"/>
      <c r="H7" s="23"/>
      <c r="I7" s="11" t="str">
        <f aca="false">IF($A7="","",COUNTIF($D7:$H7,"Y"))</f>
        <v/>
      </c>
      <c r="J7" s="24" t="str">
        <f aca="false">IF($A7="","",IF($I7=5,"Yes - all five gates","No - close "&amp;(5-$I7)&amp;" gap(s) first"))</f>
        <v/>
      </c>
      <c r="K7" s="23"/>
      <c r="L7" s="23"/>
      <c r="M7" s="23"/>
      <c r="N7" s="23"/>
      <c r="O7" s="11" t="str">
        <f aca="false">IF($A7="","",$K7*'Read me'!$B$15+$L7*'Read me'!$B$16+$M7*'Read me'!$B$17+$N7*'Read me'!$B$18)</f>
        <v/>
      </c>
      <c r="P7" s="25" t="str">
        <f aca="false">IF($A7="","",IFERROR(($O7-'Read me'!$B$19)/('Read me'!$B$19*4)*100,""))</f>
        <v/>
      </c>
      <c r="Q7" s="23"/>
      <c r="R7" s="23"/>
      <c r="S7" s="23"/>
      <c r="T7" s="23"/>
      <c r="U7" s="11" t="str">
        <f aca="false">IF($A7="","",$Q7*'Read me'!$B$22+$R7*'Read me'!$B$23+$S7*'Read me'!$B$24+$T7*'Read me'!$B$25)</f>
        <v/>
      </c>
      <c r="V7" s="25" t="str">
        <f aca="false">IF($A7="","",IFERROR(100-(($U7-'Read me'!$B$26)/('Read me'!$B$26*4)*100),""))</f>
        <v/>
      </c>
      <c r="W7" s="24" t="str">
        <f aca="false">IF($A7="","",IF(AND($P7&gt;='Read me'!$B$29,$V7&gt;='Read me'!$B$30),"Build first",IF(AND($P7&gt;='Read me'!$B$29,$V7&lt;'Read me'!$B$30),"Sequence later",IF(AND($P7&lt;'Read me'!$B$29,$V7&gt;='Read me'!$B$30),"Fill capacity","Decline"))))</f>
        <v/>
      </c>
      <c r="X7" s="25" t="str">
        <f aca="false">IF($A7="","",IFERROR(($P7*'Read me'!$B$31+$V7*'Read me'!$B$32)/('Read me'!$B$31+'Read me'!$B$32),""))</f>
        <v/>
      </c>
      <c r="Y7" s="11" t="str">
        <f aca="false">IF($A7="","",SUMPRODUCT(ISNUMBER($X$5:$X$34)*($X$5:$X$34&gt;$X7))+1)</f>
        <v/>
      </c>
    </row>
    <row r="8" customFormat="false" ht="30" hidden="false" customHeight="true" outlineLevel="0" collapsed="false">
      <c r="A8" s="21"/>
      <c r="B8" s="22"/>
      <c r="C8" s="22"/>
      <c r="D8" s="23"/>
      <c r="E8" s="23"/>
      <c r="F8" s="23"/>
      <c r="G8" s="23"/>
      <c r="H8" s="23"/>
      <c r="I8" s="11" t="str">
        <f aca="false">IF($A8="","",COUNTIF($D8:$H8,"Y"))</f>
        <v/>
      </c>
      <c r="J8" s="24" t="str">
        <f aca="false">IF($A8="","",IF($I8=5,"Yes - all five gates","No - close "&amp;(5-$I8)&amp;" gap(s) first"))</f>
        <v/>
      </c>
      <c r="K8" s="23"/>
      <c r="L8" s="23"/>
      <c r="M8" s="23"/>
      <c r="N8" s="23"/>
      <c r="O8" s="11" t="str">
        <f aca="false">IF($A8="","",$K8*'Read me'!$B$15+$L8*'Read me'!$B$16+$M8*'Read me'!$B$17+$N8*'Read me'!$B$18)</f>
        <v/>
      </c>
      <c r="P8" s="25" t="str">
        <f aca="false">IF($A8="","",IFERROR(($O8-'Read me'!$B$19)/('Read me'!$B$19*4)*100,""))</f>
        <v/>
      </c>
      <c r="Q8" s="23"/>
      <c r="R8" s="23"/>
      <c r="S8" s="23"/>
      <c r="T8" s="23"/>
      <c r="U8" s="11" t="str">
        <f aca="false">IF($A8="","",$Q8*'Read me'!$B$22+$R8*'Read me'!$B$23+$S8*'Read me'!$B$24+$T8*'Read me'!$B$25)</f>
        <v/>
      </c>
      <c r="V8" s="25" t="str">
        <f aca="false">IF($A8="","",IFERROR(100-(($U8-'Read me'!$B$26)/('Read me'!$B$26*4)*100),""))</f>
        <v/>
      </c>
      <c r="W8" s="24" t="str">
        <f aca="false">IF($A8="","",IF(AND($P8&gt;='Read me'!$B$29,$V8&gt;='Read me'!$B$30),"Build first",IF(AND($P8&gt;='Read me'!$B$29,$V8&lt;'Read me'!$B$30),"Sequence later",IF(AND($P8&lt;'Read me'!$B$29,$V8&gt;='Read me'!$B$30),"Fill capacity","Decline"))))</f>
        <v/>
      </c>
      <c r="X8" s="25" t="str">
        <f aca="false">IF($A8="","",IFERROR(($P8*'Read me'!$B$31+$V8*'Read me'!$B$32)/('Read me'!$B$31+'Read me'!$B$32),""))</f>
        <v/>
      </c>
      <c r="Y8" s="11" t="str">
        <f aca="false">IF($A8="","",SUMPRODUCT(ISNUMBER($X$5:$X$34)*($X$5:$X$34&gt;$X8))+1)</f>
        <v/>
      </c>
    </row>
    <row r="9" customFormat="false" ht="30" hidden="false" customHeight="true" outlineLevel="0" collapsed="false">
      <c r="A9" s="21"/>
      <c r="B9" s="22"/>
      <c r="C9" s="22"/>
      <c r="D9" s="23"/>
      <c r="E9" s="23"/>
      <c r="F9" s="23"/>
      <c r="G9" s="23"/>
      <c r="H9" s="23"/>
      <c r="I9" s="11" t="str">
        <f aca="false">IF($A9="","",COUNTIF($D9:$H9,"Y"))</f>
        <v/>
      </c>
      <c r="J9" s="24" t="str">
        <f aca="false">IF($A9="","",IF($I9=5,"Yes - all five gates","No - close "&amp;(5-$I9)&amp;" gap(s) first"))</f>
        <v/>
      </c>
      <c r="K9" s="23"/>
      <c r="L9" s="23"/>
      <c r="M9" s="23"/>
      <c r="N9" s="23"/>
      <c r="O9" s="11" t="str">
        <f aca="false">IF($A9="","",$K9*'Read me'!$B$15+$L9*'Read me'!$B$16+$M9*'Read me'!$B$17+$N9*'Read me'!$B$18)</f>
        <v/>
      </c>
      <c r="P9" s="25" t="str">
        <f aca="false">IF($A9="","",IFERROR(($O9-'Read me'!$B$19)/('Read me'!$B$19*4)*100,""))</f>
        <v/>
      </c>
      <c r="Q9" s="23"/>
      <c r="R9" s="23"/>
      <c r="S9" s="23"/>
      <c r="T9" s="23"/>
      <c r="U9" s="11" t="str">
        <f aca="false">IF($A9="","",$Q9*'Read me'!$B$22+$R9*'Read me'!$B$23+$S9*'Read me'!$B$24+$T9*'Read me'!$B$25)</f>
        <v/>
      </c>
      <c r="V9" s="25" t="str">
        <f aca="false">IF($A9="","",IFERROR(100-(($U9-'Read me'!$B$26)/('Read me'!$B$26*4)*100),""))</f>
        <v/>
      </c>
      <c r="W9" s="24" t="str">
        <f aca="false">IF($A9="","",IF(AND($P9&gt;='Read me'!$B$29,$V9&gt;='Read me'!$B$30),"Build first",IF(AND($P9&gt;='Read me'!$B$29,$V9&lt;'Read me'!$B$30),"Sequence later",IF(AND($P9&lt;'Read me'!$B$29,$V9&gt;='Read me'!$B$30),"Fill capacity","Decline"))))</f>
        <v/>
      </c>
      <c r="X9" s="25" t="str">
        <f aca="false">IF($A9="","",IFERROR(($P9*'Read me'!$B$31+$V9*'Read me'!$B$32)/('Read me'!$B$31+'Read me'!$B$32),""))</f>
        <v/>
      </c>
      <c r="Y9" s="11" t="str">
        <f aca="false">IF($A9="","",SUMPRODUCT(ISNUMBER($X$5:$X$34)*($X$5:$X$34&gt;$X9))+1)</f>
        <v/>
      </c>
    </row>
    <row r="10" customFormat="false" ht="30" hidden="false" customHeight="true" outlineLevel="0" collapsed="false">
      <c r="A10" s="21"/>
      <c r="B10" s="22"/>
      <c r="C10" s="22"/>
      <c r="D10" s="23"/>
      <c r="E10" s="23"/>
      <c r="F10" s="23"/>
      <c r="G10" s="23"/>
      <c r="H10" s="23"/>
      <c r="I10" s="11" t="str">
        <f aca="false">IF($A10="","",COUNTIF($D10:$H10,"Y"))</f>
        <v/>
      </c>
      <c r="J10" s="24" t="str">
        <f aca="false">IF($A10="","",IF($I10=5,"Yes - all five gates","No - close "&amp;(5-$I10)&amp;" gap(s) first"))</f>
        <v/>
      </c>
      <c r="K10" s="23"/>
      <c r="L10" s="23"/>
      <c r="M10" s="23"/>
      <c r="N10" s="23"/>
      <c r="O10" s="11" t="str">
        <f aca="false">IF($A10="","",$K10*'Read me'!$B$15+$L10*'Read me'!$B$16+$M10*'Read me'!$B$17+$N10*'Read me'!$B$18)</f>
        <v/>
      </c>
      <c r="P10" s="25" t="str">
        <f aca="false">IF($A10="","",IFERROR(($O10-'Read me'!$B$19)/('Read me'!$B$19*4)*100,""))</f>
        <v/>
      </c>
      <c r="Q10" s="23"/>
      <c r="R10" s="23"/>
      <c r="S10" s="23"/>
      <c r="T10" s="23"/>
      <c r="U10" s="11" t="str">
        <f aca="false">IF($A10="","",$Q10*'Read me'!$B$22+$R10*'Read me'!$B$23+$S10*'Read me'!$B$24+$T10*'Read me'!$B$25)</f>
        <v/>
      </c>
      <c r="V10" s="25" t="str">
        <f aca="false">IF($A10="","",IFERROR(100-(($U10-'Read me'!$B$26)/('Read me'!$B$26*4)*100),""))</f>
        <v/>
      </c>
      <c r="W10" s="24" t="str">
        <f aca="false">IF($A10="","",IF(AND($P10&gt;='Read me'!$B$29,$V10&gt;='Read me'!$B$30),"Build first",IF(AND($P10&gt;='Read me'!$B$29,$V10&lt;'Read me'!$B$30),"Sequence later",IF(AND($P10&lt;'Read me'!$B$29,$V10&gt;='Read me'!$B$30),"Fill capacity","Decline"))))</f>
        <v/>
      </c>
      <c r="X10" s="25" t="str">
        <f aca="false">IF($A10="","",IFERROR(($P10*'Read me'!$B$31+$V10*'Read me'!$B$32)/('Read me'!$B$31+'Read me'!$B$32),""))</f>
        <v/>
      </c>
      <c r="Y10" s="11" t="str">
        <f aca="false">IF($A10="","",SUMPRODUCT(ISNUMBER($X$5:$X$34)*($X$5:$X$34&gt;$X10))+1)</f>
        <v/>
      </c>
    </row>
    <row r="11" customFormat="false" ht="30" hidden="false" customHeight="true" outlineLevel="0" collapsed="false">
      <c r="A11" s="21"/>
      <c r="B11" s="22"/>
      <c r="C11" s="22"/>
      <c r="D11" s="23"/>
      <c r="E11" s="23"/>
      <c r="F11" s="23"/>
      <c r="G11" s="23"/>
      <c r="H11" s="23"/>
      <c r="I11" s="11" t="str">
        <f aca="false">IF($A11="","",COUNTIF($D11:$H11,"Y"))</f>
        <v/>
      </c>
      <c r="J11" s="24" t="str">
        <f aca="false">IF($A11="","",IF($I11=5,"Yes - all five gates","No - close "&amp;(5-$I11)&amp;" gap(s) first"))</f>
        <v/>
      </c>
      <c r="K11" s="23"/>
      <c r="L11" s="23"/>
      <c r="M11" s="23"/>
      <c r="N11" s="23"/>
      <c r="O11" s="11" t="str">
        <f aca="false">IF($A11="","",$K11*'Read me'!$B$15+$L11*'Read me'!$B$16+$M11*'Read me'!$B$17+$N11*'Read me'!$B$18)</f>
        <v/>
      </c>
      <c r="P11" s="25" t="str">
        <f aca="false">IF($A11="","",IFERROR(($O11-'Read me'!$B$19)/('Read me'!$B$19*4)*100,""))</f>
        <v/>
      </c>
      <c r="Q11" s="23"/>
      <c r="R11" s="23"/>
      <c r="S11" s="23"/>
      <c r="T11" s="23"/>
      <c r="U11" s="11" t="str">
        <f aca="false">IF($A11="","",$Q11*'Read me'!$B$22+$R11*'Read me'!$B$23+$S11*'Read me'!$B$24+$T11*'Read me'!$B$25)</f>
        <v/>
      </c>
      <c r="V11" s="25" t="str">
        <f aca="false">IF($A11="","",IFERROR(100-(($U11-'Read me'!$B$26)/('Read me'!$B$26*4)*100),""))</f>
        <v/>
      </c>
      <c r="W11" s="24" t="str">
        <f aca="false">IF($A11="","",IF(AND($P11&gt;='Read me'!$B$29,$V11&gt;='Read me'!$B$30),"Build first",IF(AND($P11&gt;='Read me'!$B$29,$V11&lt;'Read me'!$B$30),"Sequence later",IF(AND($P11&lt;'Read me'!$B$29,$V11&gt;='Read me'!$B$30),"Fill capacity","Decline"))))</f>
        <v/>
      </c>
      <c r="X11" s="25" t="str">
        <f aca="false">IF($A11="","",IFERROR(($P11*'Read me'!$B$31+$V11*'Read me'!$B$32)/('Read me'!$B$31+'Read me'!$B$32),""))</f>
        <v/>
      </c>
      <c r="Y11" s="11" t="str">
        <f aca="false">IF($A11="","",SUMPRODUCT(ISNUMBER($X$5:$X$34)*($X$5:$X$34&gt;$X11))+1)</f>
        <v/>
      </c>
    </row>
    <row r="12" customFormat="false" ht="30" hidden="false" customHeight="true" outlineLevel="0" collapsed="false">
      <c r="A12" s="21"/>
      <c r="B12" s="22"/>
      <c r="C12" s="22"/>
      <c r="D12" s="23"/>
      <c r="E12" s="23"/>
      <c r="F12" s="23"/>
      <c r="G12" s="23"/>
      <c r="H12" s="23"/>
      <c r="I12" s="11" t="str">
        <f aca="false">IF($A12="","",COUNTIF($D12:$H12,"Y"))</f>
        <v/>
      </c>
      <c r="J12" s="24" t="str">
        <f aca="false">IF($A12="","",IF($I12=5,"Yes - all five gates","No - close "&amp;(5-$I12)&amp;" gap(s) first"))</f>
        <v/>
      </c>
      <c r="K12" s="23"/>
      <c r="L12" s="23"/>
      <c r="M12" s="23"/>
      <c r="N12" s="23"/>
      <c r="O12" s="11" t="str">
        <f aca="false">IF($A12="","",$K12*'Read me'!$B$15+$L12*'Read me'!$B$16+$M12*'Read me'!$B$17+$N12*'Read me'!$B$18)</f>
        <v/>
      </c>
      <c r="P12" s="25" t="str">
        <f aca="false">IF($A12="","",IFERROR(($O12-'Read me'!$B$19)/('Read me'!$B$19*4)*100,""))</f>
        <v/>
      </c>
      <c r="Q12" s="23"/>
      <c r="R12" s="23"/>
      <c r="S12" s="23"/>
      <c r="T12" s="23"/>
      <c r="U12" s="11" t="str">
        <f aca="false">IF($A12="","",$Q12*'Read me'!$B$22+$R12*'Read me'!$B$23+$S12*'Read me'!$B$24+$T12*'Read me'!$B$25)</f>
        <v/>
      </c>
      <c r="V12" s="25" t="str">
        <f aca="false">IF($A12="","",IFERROR(100-(($U12-'Read me'!$B$26)/('Read me'!$B$26*4)*100),""))</f>
        <v/>
      </c>
      <c r="W12" s="24" t="str">
        <f aca="false">IF($A12="","",IF(AND($P12&gt;='Read me'!$B$29,$V12&gt;='Read me'!$B$30),"Build first",IF(AND($P12&gt;='Read me'!$B$29,$V12&lt;'Read me'!$B$30),"Sequence later",IF(AND($P12&lt;'Read me'!$B$29,$V12&gt;='Read me'!$B$30),"Fill capacity","Decline"))))</f>
        <v/>
      </c>
      <c r="X12" s="25" t="str">
        <f aca="false">IF($A12="","",IFERROR(($P12*'Read me'!$B$31+$V12*'Read me'!$B$32)/('Read me'!$B$31+'Read me'!$B$32),""))</f>
        <v/>
      </c>
      <c r="Y12" s="11" t="str">
        <f aca="false">IF($A12="","",SUMPRODUCT(ISNUMBER($X$5:$X$34)*($X$5:$X$34&gt;$X12))+1)</f>
        <v/>
      </c>
    </row>
    <row r="13" customFormat="false" ht="30" hidden="false" customHeight="true" outlineLevel="0" collapsed="false">
      <c r="A13" s="21"/>
      <c r="B13" s="22"/>
      <c r="C13" s="22"/>
      <c r="D13" s="23"/>
      <c r="E13" s="23"/>
      <c r="F13" s="23"/>
      <c r="G13" s="23"/>
      <c r="H13" s="23"/>
      <c r="I13" s="11" t="str">
        <f aca="false">IF($A13="","",COUNTIF($D13:$H13,"Y"))</f>
        <v/>
      </c>
      <c r="J13" s="24" t="str">
        <f aca="false">IF($A13="","",IF($I13=5,"Yes - all five gates","No - close "&amp;(5-$I13)&amp;" gap(s) first"))</f>
        <v/>
      </c>
      <c r="K13" s="23"/>
      <c r="L13" s="23"/>
      <c r="M13" s="23"/>
      <c r="N13" s="23"/>
      <c r="O13" s="11" t="str">
        <f aca="false">IF($A13="","",$K13*'Read me'!$B$15+$L13*'Read me'!$B$16+$M13*'Read me'!$B$17+$N13*'Read me'!$B$18)</f>
        <v/>
      </c>
      <c r="P13" s="25" t="str">
        <f aca="false">IF($A13="","",IFERROR(($O13-'Read me'!$B$19)/('Read me'!$B$19*4)*100,""))</f>
        <v/>
      </c>
      <c r="Q13" s="23"/>
      <c r="R13" s="23"/>
      <c r="S13" s="23"/>
      <c r="T13" s="23"/>
      <c r="U13" s="11" t="str">
        <f aca="false">IF($A13="","",$Q13*'Read me'!$B$22+$R13*'Read me'!$B$23+$S13*'Read me'!$B$24+$T13*'Read me'!$B$25)</f>
        <v/>
      </c>
      <c r="V13" s="25" t="str">
        <f aca="false">IF($A13="","",IFERROR(100-(($U13-'Read me'!$B$26)/('Read me'!$B$26*4)*100),""))</f>
        <v/>
      </c>
      <c r="W13" s="24" t="str">
        <f aca="false">IF($A13="","",IF(AND($P13&gt;='Read me'!$B$29,$V13&gt;='Read me'!$B$30),"Build first",IF(AND($P13&gt;='Read me'!$B$29,$V13&lt;'Read me'!$B$30),"Sequence later",IF(AND($P13&lt;'Read me'!$B$29,$V13&gt;='Read me'!$B$30),"Fill capacity","Decline"))))</f>
        <v/>
      </c>
      <c r="X13" s="25" t="str">
        <f aca="false">IF($A13="","",IFERROR(($P13*'Read me'!$B$31+$V13*'Read me'!$B$32)/('Read me'!$B$31+'Read me'!$B$32),""))</f>
        <v/>
      </c>
      <c r="Y13" s="11" t="str">
        <f aca="false">IF($A13="","",SUMPRODUCT(ISNUMBER($X$5:$X$34)*($X$5:$X$34&gt;$X13))+1)</f>
        <v/>
      </c>
    </row>
    <row r="14" customFormat="false" ht="30" hidden="false" customHeight="true" outlineLevel="0" collapsed="false">
      <c r="A14" s="21"/>
      <c r="B14" s="22"/>
      <c r="C14" s="22"/>
      <c r="D14" s="23"/>
      <c r="E14" s="23"/>
      <c r="F14" s="23"/>
      <c r="G14" s="23"/>
      <c r="H14" s="23"/>
      <c r="I14" s="11" t="str">
        <f aca="false">IF($A14="","",COUNTIF($D14:$H14,"Y"))</f>
        <v/>
      </c>
      <c r="J14" s="24" t="str">
        <f aca="false">IF($A14="","",IF($I14=5,"Yes - all five gates","No - close "&amp;(5-$I14)&amp;" gap(s) first"))</f>
        <v/>
      </c>
      <c r="K14" s="23"/>
      <c r="L14" s="23"/>
      <c r="M14" s="23"/>
      <c r="N14" s="23"/>
      <c r="O14" s="11" t="str">
        <f aca="false">IF($A14="","",$K14*'Read me'!$B$15+$L14*'Read me'!$B$16+$M14*'Read me'!$B$17+$N14*'Read me'!$B$18)</f>
        <v/>
      </c>
      <c r="P14" s="25" t="str">
        <f aca="false">IF($A14="","",IFERROR(($O14-'Read me'!$B$19)/('Read me'!$B$19*4)*100,""))</f>
        <v/>
      </c>
      <c r="Q14" s="23"/>
      <c r="R14" s="23"/>
      <c r="S14" s="23"/>
      <c r="T14" s="23"/>
      <c r="U14" s="11" t="str">
        <f aca="false">IF($A14="","",$Q14*'Read me'!$B$22+$R14*'Read me'!$B$23+$S14*'Read me'!$B$24+$T14*'Read me'!$B$25)</f>
        <v/>
      </c>
      <c r="V14" s="25" t="str">
        <f aca="false">IF($A14="","",IFERROR(100-(($U14-'Read me'!$B$26)/('Read me'!$B$26*4)*100),""))</f>
        <v/>
      </c>
      <c r="W14" s="24" t="str">
        <f aca="false">IF($A14="","",IF(AND($P14&gt;='Read me'!$B$29,$V14&gt;='Read me'!$B$30),"Build first",IF(AND($P14&gt;='Read me'!$B$29,$V14&lt;'Read me'!$B$30),"Sequence later",IF(AND($P14&lt;'Read me'!$B$29,$V14&gt;='Read me'!$B$30),"Fill capacity","Decline"))))</f>
        <v/>
      </c>
      <c r="X14" s="25" t="str">
        <f aca="false">IF($A14="","",IFERROR(($P14*'Read me'!$B$31+$V14*'Read me'!$B$32)/('Read me'!$B$31+'Read me'!$B$32),""))</f>
        <v/>
      </c>
      <c r="Y14" s="11" t="str">
        <f aca="false">IF($A14="","",SUMPRODUCT(ISNUMBER($X$5:$X$34)*($X$5:$X$34&gt;$X14))+1)</f>
        <v/>
      </c>
    </row>
    <row r="15" customFormat="false" ht="30" hidden="false" customHeight="true" outlineLevel="0" collapsed="false">
      <c r="A15" s="21"/>
      <c r="B15" s="22"/>
      <c r="C15" s="22"/>
      <c r="D15" s="23"/>
      <c r="E15" s="23"/>
      <c r="F15" s="23"/>
      <c r="G15" s="23"/>
      <c r="H15" s="23"/>
      <c r="I15" s="11" t="str">
        <f aca="false">IF($A15="","",COUNTIF($D15:$H15,"Y"))</f>
        <v/>
      </c>
      <c r="J15" s="24" t="str">
        <f aca="false">IF($A15="","",IF($I15=5,"Yes - all five gates","No - close "&amp;(5-$I15)&amp;" gap(s) first"))</f>
        <v/>
      </c>
      <c r="K15" s="23"/>
      <c r="L15" s="23"/>
      <c r="M15" s="23"/>
      <c r="N15" s="23"/>
      <c r="O15" s="11" t="str">
        <f aca="false">IF($A15="","",$K15*'Read me'!$B$15+$L15*'Read me'!$B$16+$M15*'Read me'!$B$17+$N15*'Read me'!$B$18)</f>
        <v/>
      </c>
      <c r="P15" s="25" t="str">
        <f aca="false">IF($A15="","",IFERROR(($O15-'Read me'!$B$19)/('Read me'!$B$19*4)*100,""))</f>
        <v/>
      </c>
      <c r="Q15" s="23"/>
      <c r="R15" s="23"/>
      <c r="S15" s="23"/>
      <c r="T15" s="23"/>
      <c r="U15" s="11" t="str">
        <f aca="false">IF($A15="","",$Q15*'Read me'!$B$22+$R15*'Read me'!$B$23+$S15*'Read me'!$B$24+$T15*'Read me'!$B$25)</f>
        <v/>
      </c>
      <c r="V15" s="25" t="str">
        <f aca="false">IF($A15="","",IFERROR(100-(($U15-'Read me'!$B$26)/('Read me'!$B$26*4)*100),""))</f>
        <v/>
      </c>
      <c r="W15" s="24" t="str">
        <f aca="false">IF($A15="","",IF(AND($P15&gt;='Read me'!$B$29,$V15&gt;='Read me'!$B$30),"Build first",IF(AND($P15&gt;='Read me'!$B$29,$V15&lt;'Read me'!$B$30),"Sequence later",IF(AND($P15&lt;'Read me'!$B$29,$V15&gt;='Read me'!$B$30),"Fill capacity","Decline"))))</f>
        <v/>
      </c>
      <c r="X15" s="25" t="str">
        <f aca="false">IF($A15="","",IFERROR(($P15*'Read me'!$B$31+$V15*'Read me'!$B$32)/('Read me'!$B$31+'Read me'!$B$32),""))</f>
        <v/>
      </c>
      <c r="Y15" s="11" t="str">
        <f aca="false">IF($A15="","",SUMPRODUCT(ISNUMBER($X$5:$X$34)*($X$5:$X$34&gt;$X15))+1)</f>
        <v/>
      </c>
    </row>
    <row r="16" customFormat="false" ht="30" hidden="false" customHeight="true" outlineLevel="0" collapsed="false">
      <c r="A16" s="21"/>
      <c r="B16" s="22"/>
      <c r="C16" s="22"/>
      <c r="D16" s="23"/>
      <c r="E16" s="23"/>
      <c r="F16" s="23"/>
      <c r="G16" s="23"/>
      <c r="H16" s="23"/>
      <c r="I16" s="11" t="str">
        <f aca="false">IF($A16="","",COUNTIF($D16:$H16,"Y"))</f>
        <v/>
      </c>
      <c r="J16" s="24" t="str">
        <f aca="false">IF($A16="","",IF($I16=5,"Yes - all five gates","No - close "&amp;(5-$I16)&amp;" gap(s) first"))</f>
        <v/>
      </c>
      <c r="K16" s="23"/>
      <c r="L16" s="23"/>
      <c r="M16" s="23"/>
      <c r="N16" s="23"/>
      <c r="O16" s="11" t="str">
        <f aca="false">IF($A16="","",$K16*'Read me'!$B$15+$L16*'Read me'!$B$16+$M16*'Read me'!$B$17+$N16*'Read me'!$B$18)</f>
        <v/>
      </c>
      <c r="P16" s="25" t="str">
        <f aca="false">IF($A16="","",IFERROR(($O16-'Read me'!$B$19)/('Read me'!$B$19*4)*100,""))</f>
        <v/>
      </c>
      <c r="Q16" s="23"/>
      <c r="R16" s="23"/>
      <c r="S16" s="23"/>
      <c r="T16" s="23"/>
      <c r="U16" s="11" t="str">
        <f aca="false">IF($A16="","",$Q16*'Read me'!$B$22+$R16*'Read me'!$B$23+$S16*'Read me'!$B$24+$T16*'Read me'!$B$25)</f>
        <v/>
      </c>
      <c r="V16" s="25" t="str">
        <f aca="false">IF($A16="","",IFERROR(100-(($U16-'Read me'!$B$26)/('Read me'!$B$26*4)*100),""))</f>
        <v/>
      </c>
      <c r="W16" s="24" t="str">
        <f aca="false">IF($A16="","",IF(AND($P16&gt;='Read me'!$B$29,$V16&gt;='Read me'!$B$30),"Build first",IF(AND($P16&gt;='Read me'!$B$29,$V16&lt;'Read me'!$B$30),"Sequence later",IF(AND($P16&lt;'Read me'!$B$29,$V16&gt;='Read me'!$B$30),"Fill capacity","Decline"))))</f>
        <v/>
      </c>
      <c r="X16" s="25" t="str">
        <f aca="false">IF($A16="","",IFERROR(($P16*'Read me'!$B$31+$V16*'Read me'!$B$32)/('Read me'!$B$31+'Read me'!$B$32),""))</f>
        <v/>
      </c>
      <c r="Y16" s="11" t="str">
        <f aca="false">IF($A16="","",SUMPRODUCT(ISNUMBER($X$5:$X$34)*($X$5:$X$34&gt;$X16))+1)</f>
        <v/>
      </c>
    </row>
    <row r="17" customFormat="false" ht="30" hidden="false" customHeight="true" outlineLevel="0" collapsed="false">
      <c r="A17" s="21"/>
      <c r="B17" s="22"/>
      <c r="C17" s="22"/>
      <c r="D17" s="23"/>
      <c r="E17" s="23"/>
      <c r="F17" s="23"/>
      <c r="G17" s="23"/>
      <c r="H17" s="23"/>
      <c r="I17" s="11" t="str">
        <f aca="false">IF($A17="","",COUNTIF($D17:$H17,"Y"))</f>
        <v/>
      </c>
      <c r="J17" s="24" t="str">
        <f aca="false">IF($A17="","",IF($I17=5,"Yes - all five gates","No - close "&amp;(5-$I17)&amp;" gap(s) first"))</f>
        <v/>
      </c>
      <c r="K17" s="23"/>
      <c r="L17" s="23"/>
      <c r="M17" s="23"/>
      <c r="N17" s="23"/>
      <c r="O17" s="11" t="str">
        <f aca="false">IF($A17="","",$K17*'Read me'!$B$15+$L17*'Read me'!$B$16+$M17*'Read me'!$B$17+$N17*'Read me'!$B$18)</f>
        <v/>
      </c>
      <c r="P17" s="25" t="str">
        <f aca="false">IF($A17="","",IFERROR(($O17-'Read me'!$B$19)/('Read me'!$B$19*4)*100,""))</f>
        <v/>
      </c>
      <c r="Q17" s="23"/>
      <c r="R17" s="23"/>
      <c r="S17" s="23"/>
      <c r="T17" s="23"/>
      <c r="U17" s="11" t="str">
        <f aca="false">IF($A17="","",$Q17*'Read me'!$B$22+$R17*'Read me'!$B$23+$S17*'Read me'!$B$24+$T17*'Read me'!$B$25)</f>
        <v/>
      </c>
      <c r="V17" s="25" t="str">
        <f aca="false">IF($A17="","",IFERROR(100-(($U17-'Read me'!$B$26)/('Read me'!$B$26*4)*100),""))</f>
        <v/>
      </c>
      <c r="W17" s="24" t="str">
        <f aca="false">IF($A17="","",IF(AND($P17&gt;='Read me'!$B$29,$V17&gt;='Read me'!$B$30),"Build first",IF(AND($P17&gt;='Read me'!$B$29,$V17&lt;'Read me'!$B$30),"Sequence later",IF(AND($P17&lt;'Read me'!$B$29,$V17&gt;='Read me'!$B$30),"Fill capacity","Decline"))))</f>
        <v/>
      </c>
      <c r="X17" s="25" t="str">
        <f aca="false">IF($A17="","",IFERROR(($P17*'Read me'!$B$31+$V17*'Read me'!$B$32)/('Read me'!$B$31+'Read me'!$B$32),""))</f>
        <v/>
      </c>
      <c r="Y17" s="11" t="str">
        <f aca="false">IF($A17="","",SUMPRODUCT(ISNUMBER($X$5:$X$34)*($X$5:$X$34&gt;$X17))+1)</f>
        <v/>
      </c>
    </row>
    <row r="18" customFormat="false" ht="30" hidden="false" customHeight="true" outlineLevel="0" collapsed="false">
      <c r="A18" s="21"/>
      <c r="B18" s="22"/>
      <c r="C18" s="22"/>
      <c r="D18" s="23"/>
      <c r="E18" s="23"/>
      <c r="F18" s="23"/>
      <c r="G18" s="23"/>
      <c r="H18" s="23"/>
      <c r="I18" s="11" t="str">
        <f aca="false">IF($A18="","",COUNTIF($D18:$H18,"Y"))</f>
        <v/>
      </c>
      <c r="J18" s="24" t="str">
        <f aca="false">IF($A18="","",IF($I18=5,"Yes - all five gates","No - close "&amp;(5-$I18)&amp;" gap(s) first"))</f>
        <v/>
      </c>
      <c r="K18" s="23"/>
      <c r="L18" s="23"/>
      <c r="M18" s="23"/>
      <c r="N18" s="23"/>
      <c r="O18" s="11" t="str">
        <f aca="false">IF($A18="","",$K18*'Read me'!$B$15+$L18*'Read me'!$B$16+$M18*'Read me'!$B$17+$N18*'Read me'!$B$18)</f>
        <v/>
      </c>
      <c r="P18" s="25" t="str">
        <f aca="false">IF($A18="","",IFERROR(($O18-'Read me'!$B$19)/('Read me'!$B$19*4)*100,""))</f>
        <v/>
      </c>
      <c r="Q18" s="23"/>
      <c r="R18" s="23"/>
      <c r="S18" s="23"/>
      <c r="T18" s="23"/>
      <c r="U18" s="11" t="str">
        <f aca="false">IF($A18="","",$Q18*'Read me'!$B$22+$R18*'Read me'!$B$23+$S18*'Read me'!$B$24+$T18*'Read me'!$B$25)</f>
        <v/>
      </c>
      <c r="V18" s="25" t="str">
        <f aca="false">IF($A18="","",IFERROR(100-(($U18-'Read me'!$B$26)/('Read me'!$B$26*4)*100),""))</f>
        <v/>
      </c>
      <c r="W18" s="24" t="str">
        <f aca="false">IF($A18="","",IF(AND($P18&gt;='Read me'!$B$29,$V18&gt;='Read me'!$B$30),"Build first",IF(AND($P18&gt;='Read me'!$B$29,$V18&lt;'Read me'!$B$30),"Sequence later",IF(AND($P18&lt;'Read me'!$B$29,$V18&gt;='Read me'!$B$30),"Fill capacity","Decline"))))</f>
        <v/>
      </c>
      <c r="X18" s="25" t="str">
        <f aca="false">IF($A18="","",IFERROR(($P18*'Read me'!$B$31+$V18*'Read me'!$B$32)/('Read me'!$B$31+'Read me'!$B$32),""))</f>
        <v/>
      </c>
      <c r="Y18" s="11" t="str">
        <f aca="false">IF($A18="","",SUMPRODUCT(ISNUMBER($X$5:$X$34)*($X$5:$X$34&gt;$X18))+1)</f>
        <v/>
      </c>
    </row>
    <row r="19" customFormat="false" ht="30" hidden="false" customHeight="true" outlineLevel="0" collapsed="false">
      <c r="A19" s="21"/>
      <c r="B19" s="22"/>
      <c r="C19" s="22"/>
      <c r="D19" s="23"/>
      <c r="E19" s="23"/>
      <c r="F19" s="23"/>
      <c r="G19" s="23"/>
      <c r="H19" s="23"/>
      <c r="I19" s="11" t="str">
        <f aca="false">IF($A19="","",COUNTIF($D19:$H19,"Y"))</f>
        <v/>
      </c>
      <c r="J19" s="24" t="str">
        <f aca="false">IF($A19="","",IF($I19=5,"Yes - all five gates","No - close "&amp;(5-$I19)&amp;" gap(s) first"))</f>
        <v/>
      </c>
      <c r="K19" s="23"/>
      <c r="L19" s="23"/>
      <c r="M19" s="23"/>
      <c r="N19" s="23"/>
      <c r="O19" s="11" t="str">
        <f aca="false">IF($A19="","",$K19*'Read me'!$B$15+$L19*'Read me'!$B$16+$M19*'Read me'!$B$17+$N19*'Read me'!$B$18)</f>
        <v/>
      </c>
      <c r="P19" s="25" t="str">
        <f aca="false">IF($A19="","",IFERROR(($O19-'Read me'!$B$19)/('Read me'!$B$19*4)*100,""))</f>
        <v/>
      </c>
      <c r="Q19" s="23"/>
      <c r="R19" s="23"/>
      <c r="S19" s="23"/>
      <c r="T19" s="23"/>
      <c r="U19" s="11" t="str">
        <f aca="false">IF($A19="","",$Q19*'Read me'!$B$22+$R19*'Read me'!$B$23+$S19*'Read me'!$B$24+$T19*'Read me'!$B$25)</f>
        <v/>
      </c>
      <c r="V19" s="25" t="str">
        <f aca="false">IF($A19="","",IFERROR(100-(($U19-'Read me'!$B$26)/('Read me'!$B$26*4)*100),""))</f>
        <v/>
      </c>
      <c r="W19" s="24" t="str">
        <f aca="false">IF($A19="","",IF(AND($P19&gt;='Read me'!$B$29,$V19&gt;='Read me'!$B$30),"Build first",IF(AND($P19&gt;='Read me'!$B$29,$V19&lt;'Read me'!$B$30),"Sequence later",IF(AND($P19&lt;'Read me'!$B$29,$V19&gt;='Read me'!$B$30),"Fill capacity","Decline"))))</f>
        <v/>
      </c>
      <c r="X19" s="25" t="str">
        <f aca="false">IF($A19="","",IFERROR(($P19*'Read me'!$B$31+$V19*'Read me'!$B$32)/('Read me'!$B$31+'Read me'!$B$32),""))</f>
        <v/>
      </c>
      <c r="Y19" s="11" t="str">
        <f aca="false">IF($A19="","",SUMPRODUCT(ISNUMBER($X$5:$X$34)*($X$5:$X$34&gt;$X19))+1)</f>
        <v/>
      </c>
    </row>
    <row r="20" customFormat="false" ht="30" hidden="false" customHeight="true" outlineLevel="0" collapsed="false">
      <c r="A20" s="21"/>
      <c r="B20" s="22"/>
      <c r="C20" s="22"/>
      <c r="D20" s="23"/>
      <c r="E20" s="23"/>
      <c r="F20" s="23"/>
      <c r="G20" s="23"/>
      <c r="H20" s="23"/>
      <c r="I20" s="11" t="str">
        <f aca="false">IF($A20="","",COUNTIF($D20:$H20,"Y"))</f>
        <v/>
      </c>
      <c r="J20" s="24" t="str">
        <f aca="false">IF($A20="","",IF($I20=5,"Yes - all five gates","No - close "&amp;(5-$I20)&amp;" gap(s) first"))</f>
        <v/>
      </c>
      <c r="K20" s="23"/>
      <c r="L20" s="23"/>
      <c r="M20" s="23"/>
      <c r="N20" s="23"/>
      <c r="O20" s="11" t="str">
        <f aca="false">IF($A20="","",$K20*'Read me'!$B$15+$L20*'Read me'!$B$16+$M20*'Read me'!$B$17+$N20*'Read me'!$B$18)</f>
        <v/>
      </c>
      <c r="P20" s="25" t="str">
        <f aca="false">IF($A20="","",IFERROR(($O20-'Read me'!$B$19)/('Read me'!$B$19*4)*100,""))</f>
        <v/>
      </c>
      <c r="Q20" s="23"/>
      <c r="R20" s="23"/>
      <c r="S20" s="23"/>
      <c r="T20" s="23"/>
      <c r="U20" s="11" t="str">
        <f aca="false">IF($A20="","",$Q20*'Read me'!$B$22+$R20*'Read me'!$B$23+$S20*'Read me'!$B$24+$T20*'Read me'!$B$25)</f>
        <v/>
      </c>
      <c r="V20" s="25" t="str">
        <f aca="false">IF($A20="","",IFERROR(100-(($U20-'Read me'!$B$26)/('Read me'!$B$26*4)*100),""))</f>
        <v/>
      </c>
      <c r="W20" s="24" t="str">
        <f aca="false">IF($A20="","",IF(AND($P20&gt;='Read me'!$B$29,$V20&gt;='Read me'!$B$30),"Build first",IF(AND($P20&gt;='Read me'!$B$29,$V20&lt;'Read me'!$B$30),"Sequence later",IF(AND($P20&lt;'Read me'!$B$29,$V20&gt;='Read me'!$B$30),"Fill capacity","Decline"))))</f>
        <v/>
      </c>
      <c r="X20" s="25" t="str">
        <f aca="false">IF($A20="","",IFERROR(($P20*'Read me'!$B$31+$V20*'Read me'!$B$32)/('Read me'!$B$31+'Read me'!$B$32),""))</f>
        <v/>
      </c>
      <c r="Y20" s="11" t="str">
        <f aca="false">IF($A20="","",SUMPRODUCT(ISNUMBER($X$5:$X$34)*($X$5:$X$34&gt;$X20))+1)</f>
        <v/>
      </c>
    </row>
    <row r="21" customFormat="false" ht="30" hidden="false" customHeight="true" outlineLevel="0" collapsed="false">
      <c r="A21" s="21"/>
      <c r="B21" s="22"/>
      <c r="C21" s="22"/>
      <c r="D21" s="23"/>
      <c r="E21" s="23"/>
      <c r="F21" s="23"/>
      <c r="G21" s="23"/>
      <c r="H21" s="23"/>
      <c r="I21" s="11" t="str">
        <f aca="false">IF($A21="","",COUNTIF($D21:$H21,"Y"))</f>
        <v/>
      </c>
      <c r="J21" s="24" t="str">
        <f aca="false">IF($A21="","",IF($I21=5,"Yes - all five gates","No - close "&amp;(5-$I21)&amp;" gap(s) first"))</f>
        <v/>
      </c>
      <c r="K21" s="23"/>
      <c r="L21" s="23"/>
      <c r="M21" s="23"/>
      <c r="N21" s="23"/>
      <c r="O21" s="11" t="str">
        <f aca="false">IF($A21="","",$K21*'Read me'!$B$15+$L21*'Read me'!$B$16+$M21*'Read me'!$B$17+$N21*'Read me'!$B$18)</f>
        <v/>
      </c>
      <c r="P21" s="25" t="str">
        <f aca="false">IF($A21="","",IFERROR(($O21-'Read me'!$B$19)/('Read me'!$B$19*4)*100,""))</f>
        <v/>
      </c>
      <c r="Q21" s="23"/>
      <c r="R21" s="23"/>
      <c r="S21" s="23"/>
      <c r="T21" s="23"/>
      <c r="U21" s="11" t="str">
        <f aca="false">IF($A21="","",$Q21*'Read me'!$B$22+$R21*'Read me'!$B$23+$S21*'Read me'!$B$24+$T21*'Read me'!$B$25)</f>
        <v/>
      </c>
      <c r="V21" s="25" t="str">
        <f aca="false">IF($A21="","",IFERROR(100-(($U21-'Read me'!$B$26)/('Read me'!$B$26*4)*100),""))</f>
        <v/>
      </c>
      <c r="W21" s="24" t="str">
        <f aca="false">IF($A21="","",IF(AND($P21&gt;='Read me'!$B$29,$V21&gt;='Read me'!$B$30),"Build first",IF(AND($P21&gt;='Read me'!$B$29,$V21&lt;'Read me'!$B$30),"Sequence later",IF(AND($P21&lt;'Read me'!$B$29,$V21&gt;='Read me'!$B$30),"Fill capacity","Decline"))))</f>
        <v/>
      </c>
      <c r="X21" s="25" t="str">
        <f aca="false">IF($A21="","",IFERROR(($P21*'Read me'!$B$31+$V21*'Read me'!$B$32)/('Read me'!$B$31+'Read me'!$B$32),""))</f>
        <v/>
      </c>
      <c r="Y21" s="11" t="str">
        <f aca="false">IF($A21="","",SUMPRODUCT(ISNUMBER($X$5:$X$34)*($X$5:$X$34&gt;$X21))+1)</f>
        <v/>
      </c>
    </row>
    <row r="22" customFormat="false" ht="30" hidden="false" customHeight="true" outlineLevel="0" collapsed="false">
      <c r="A22" s="21"/>
      <c r="B22" s="22"/>
      <c r="C22" s="22"/>
      <c r="D22" s="23"/>
      <c r="E22" s="23"/>
      <c r="F22" s="23"/>
      <c r="G22" s="23"/>
      <c r="H22" s="23"/>
      <c r="I22" s="11" t="str">
        <f aca="false">IF($A22="","",COUNTIF($D22:$H22,"Y"))</f>
        <v/>
      </c>
      <c r="J22" s="24" t="str">
        <f aca="false">IF($A22="","",IF($I22=5,"Yes - all five gates","No - close "&amp;(5-$I22)&amp;" gap(s) first"))</f>
        <v/>
      </c>
      <c r="K22" s="23"/>
      <c r="L22" s="23"/>
      <c r="M22" s="23"/>
      <c r="N22" s="23"/>
      <c r="O22" s="11" t="str">
        <f aca="false">IF($A22="","",$K22*'Read me'!$B$15+$L22*'Read me'!$B$16+$M22*'Read me'!$B$17+$N22*'Read me'!$B$18)</f>
        <v/>
      </c>
      <c r="P22" s="25" t="str">
        <f aca="false">IF($A22="","",IFERROR(($O22-'Read me'!$B$19)/('Read me'!$B$19*4)*100,""))</f>
        <v/>
      </c>
      <c r="Q22" s="23"/>
      <c r="R22" s="23"/>
      <c r="S22" s="23"/>
      <c r="T22" s="23"/>
      <c r="U22" s="11" t="str">
        <f aca="false">IF($A22="","",$Q22*'Read me'!$B$22+$R22*'Read me'!$B$23+$S22*'Read me'!$B$24+$T22*'Read me'!$B$25)</f>
        <v/>
      </c>
      <c r="V22" s="25" t="str">
        <f aca="false">IF($A22="","",IFERROR(100-(($U22-'Read me'!$B$26)/('Read me'!$B$26*4)*100),""))</f>
        <v/>
      </c>
      <c r="W22" s="24" t="str">
        <f aca="false">IF($A22="","",IF(AND($P22&gt;='Read me'!$B$29,$V22&gt;='Read me'!$B$30),"Build first",IF(AND($P22&gt;='Read me'!$B$29,$V22&lt;'Read me'!$B$30),"Sequence later",IF(AND($P22&lt;'Read me'!$B$29,$V22&gt;='Read me'!$B$30),"Fill capacity","Decline"))))</f>
        <v/>
      </c>
      <c r="X22" s="25" t="str">
        <f aca="false">IF($A22="","",IFERROR(($P22*'Read me'!$B$31+$V22*'Read me'!$B$32)/('Read me'!$B$31+'Read me'!$B$32),""))</f>
        <v/>
      </c>
      <c r="Y22" s="11" t="str">
        <f aca="false">IF($A22="","",SUMPRODUCT(ISNUMBER($X$5:$X$34)*($X$5:$X$34&gt;$X22))+1)</f>
        <v/>
      </c>
    </row>
    <row r="23" customFormat="false" ht="30" hidden="false" customHeight="true" outlineLevel="0" collapsed="false">
      <c r="A23" s="21"/>
      <c r="B23" s="22"/>
      <c r="C23" s="22"/>
      <c r="D23" s="23"/>
      <c r="E23" s="23"/>
      <c r="F23" s="23"/>
      <c r="G23" s="23"/>
      <c r="H23" s="23"/>
      <c r="I23" s="11" t="str">
        <f aca="false">IF($A23="","",COUNTIF($D23:$H23,"Y"))</f>
        <v/>
      </c>
      <c r="J23" s="24" t="str">
        <f aca="false">IF($A23="","",IF($I23=5,"Yes - all five gates","No - close "&amp;(5-$I23)&amp;" gap(s) first"))</f>
        <v/>
      </c>
      <c r="K23" s="23"/>
      <c r="L23" s="23"/>
      <c r="M23" s="23"/>
      <c r="N23" s="23"/>
      <c r="O23" s="11" t="str">
        <f aca="false">IF($A23="","",$K23*'Read me'!$B$15+$L23*'Read me'!$B$16+$M23*'Read me'!$B$17+$N23*'Read me'!$B$18)</f>
        <v/>
      </c>
      <c r="P23" s="25" t="str">
        <f aca="false">IF($A23="","",IFERROR(($O23-'Read me'!$B$19)/('Read me'!$B$19*4)*100,""))</f>
        <v/>
      </c>
      <c r="Q23" s="23"/>
      <c r="R23" s="23"/>
      <c r="S23" s="23"/>
      <c r="T23" s="23"/>
      <c r="U23" s="11" t="str">
        <f aca="false">IF($A23="","",$Q23*'Read me'!$B$22+$R23*'Read me'!$B$23+$S23*'Read me'!$B$24+$T23*'Read me'!$B$25)</f>
        <v/>
      </c>
      <c r="V23" s="25" t="str">
        <f aca="false">IF($A23="","",IFERROR(100-(($U23-'Read me'!$B$26)/('Read me'!$B$26*4)*100),""))</f>
        <v/>
      </c>
      <c r="W23" s="24" t="str">
        <f aca="false">IF($A23="","",IF(AND($P23&gt;='Read me'!$B$29,$V23&gt;='Read me'!$B$30),"Build first",IF(AND($P23&gt;='Read me'!$B$29,$V23&lt;'Read me'!$B$30),"Sequence later",IF(AND($P23&lt;'Read me'!$B$29,$V23&gt;='Read me'!$B$30),"Fill capacity","Decline"))))</f>
        <v/>
      </c>
      <c r="X23" s="25" t="str">
        <f aca="false">IF($A23="","",IFERROR(($P23*'Read me'!$B$31+$V23*'Read me'!$B$32)/('Read me'!$B$31+'Read me'!$B$32),""))</f>
        <v/>
      </c>
      <c r="Y23" s="11" t="str">
        <f aca="false">IF($A23="","",SUMPRODUCT(ISNUMBER($X$5:$X$34)*($X$5:$X$34&gt;$X23))+1)</f>
        <v/>
      </c>
    </row>
    <row r="24" customFormat="false" ht="30" hidden="false" customHeight="true" outlineLevel="0" collapsed="false">
      <c r="A24" s="21"/>
      <c r="B24" s="22"/>
      <c r="C24" s="22"/>
      <c r="D24" s="23"/>
      <c r="E24" s="23"/>
      <c r="F24" s="23"/>
      <c r="G24" s="23"/>
      <c r="H24" s="23"/>
      <c r="I24" s="11" t="str">
        <f aca="false">IF($A24="","",COUNTIF($D24:$H24,"Y"))</f>
        <v/>
      </c>
      <c r="J24" s="24" t="str">
        <f aca="false">IF($A24="","",IF($I24=5,"Yes - all five gates","No - close "&amp;(5-$I24)&amp;" gap(s) first"))</f>
        <v/>
      </c>
      <c r="K24" s="23"/>
      <c r="L24" s="23"/>
      <c r="M24" s="23"/>
      <c r="N24" s="23"/>
      <c r="O24" s="11" t="str">
        <f aca="false">IF($A24="","",$K24*'Read me'!$B$15+$L24*'Read me'!$B$16+$M24*'Read me'!$B$17+$N24*'Read me'!$B$18)</f>
        <v/>
      </c>
      <c r="P24" s="25" t="str">
        <f aca="false">IF($A24="","",IFERROR(($O24-'Read me'!$B$19)/('Read me'!$B$19*4)*100,""))</f>
        <v/>
      </c>
      <c r="Q24" s="23"/>
      <c r="R24" s="23"/>
      <c r="S24" s="23"/>
      <c r="T24" s="23"/>
      <c r="U24" s="11" t="str">
        <f aca="false">IF($A24="","",$Q24*'Read me'!$B$22+$R24*'Read me'!$B$23+$S24*'Read me'!$B$24+$T24*'Read me'!$B$25)</f>
        <v/>
      </c>
      <c r="V24" s="25" t="str">
        <f aca="false">IF($A24="","",IFERROR(100-(($U24-'Read me'!$B$26)/('Read me'!$B$26*4)*100),""))</f>
        <v/>
      </c>
      <c r="W24" s="24" t="str">
        <f aca="false">IF($A24="","",IF(AND($P24&gt;='Read me'!$B$29,$V24&gt;='Read me'!$B$30),"Build first",IF(AND($P24&gt;='Read me'!$B$29,$V24&lt;'Read me'!$B$30),"Sequence later",IF(AND($P24&lt;'Read me'!$B$29,$V24&gt;='Read me'!$B$30),"Fill capacity","Decline"))))</f>
        <v/>
      </c>
      <c r="X24" s="25" t="str">
        <f aca="false">IF($A24="","",IFERROR(($P24*'Read me'!$B$31+$V24*'Read me'!$B$32)/('Read me'!$B$31+'Read me'!$B$32),""))</f>
        <v/>
      </c>
      <c r="Y24" s="11" t="str">
        <f aca="false">IF($A24="","",SUMPRODUCT(ISNUMBER($X$5:$X$34)*($X$5:$X$34&gt;$X24))+1)</f>
        <v/>
      </c>
    </row>
    <row r="25" customFormat="false" ht="30" hidden="false" customHeight="true" outlineLevel="0" collapsed="false">
      <c r="A25" s="21"/>
      <c r="B25" s="22"/>
      <c r="C25" s="22"/>
      <c r="D25" s="23"/>
      <c r="E25" s="23"/>
      <c r="F25" s="23"/>
      <c r="G25" s="23"/>
      <c r="H25" s="23"/>
      <c r="I25" s="11" t="str">
        <f aca="false">IF($A25="","",COUNTIF($D25:$H25,"Y"))</f>
        <v/>
      </c>
      <c r="J25" s="24" t="str">
        <f aca="false">IF($A25="","",IF($I25=5,"Yes - all five gates","No - close "&amp;(5-$I25)&amp;" gap(s) first"))</f>
        <v/>
      </c>
      <c r="K25" s="23"/>
      <c r="L25" s="23"/>
      <c r="M25" s="23"/>
      <c r="N25" s="23"/>
      <c r="O25" s="11" t="str">
        <f aca="false">IF($A25="","",$K25*'Read me'!$B$15+$L25*'Read me'!$B$16+$M25*'Read me'!$B$17+$N25*'Read me'!$B$18)</f>
        <v/>
      </c>
      <c r="P25" s="25" t="str">
        <f aca="false">IF($A25="","",IFERROR(($O25-'Read me'!$B$19)/('Read me'!$B$19*4)*100,""))</f>
        <v/>
      </c>
      <c r="Q25" s="23"/>
      <c r="R25" s="23"/>
      <c r="S25" s="23"/>
      <c r="T25" s="23"/>
      <c r="U25" s="11" t="str">
        <f aca="false">IF($A25="","",$Q25*'Read me'!$B$22+$R25*'Read me'!$B$23+$S25*'Read me'!$B$24+$T25*'Read me'!$B$25)</f>
        <v/>
      </c>
      <c r="V25" s="25" t="str">
        <f aca="false">IF($A25="","",IFERROR(100-(($U25-'Read me'!$B$26)/('Read me'!$B$26*4)*100),""))</f>
        <v/>
      </c>
      <c r="W25" s="24" t="str">
        <f aca="false">IF($A25="","",IF(AND($P25&gt;='Read me'!$B$29,$V25&gt;='Read me'!$B$30),"Build first",IF(AND($P25&gt;='Read me'!$B$29,$V25&lt;'Read me'!$B$30),"Sequence later",IF(AND($P25&lt;'Read me'!$B$29,$V25&gt;='Read me'!$B$30),"Fill capacity","Decline"))))</f>
        <v/>
      </c>
      <c r="X25" s="25" t="str">
        <f aca="false">IF($A25="","",IFERROR(($P25*'Read me'!$B$31+$V25*'Read me'!$B$32)/('Read me'!$B$31+'Read me'!$B$32),""))</f>
        <v/>
      </c>
      <c r="Y25" s="11" t="str">
        <f aca="false">IF($A25="","",SUMPRODUCT(ISNUMBER($X$5:$X$34)*($X$5:$X$34&gt;$X25))+1)</f>
        <v/>
      </c>
    </row>
    <row r="26" customFormat="false" ht="30" hidden="false" customHeight="true" outlineLevel="0" collapsed="false">
      <c r="A26" s="21"/>
      <c r="B26" s="22"/>
      <c r="C26" s="22"/>
      <c r="D26" s="23"/>
      <c r="E26" s="23"/>
      <c r="F26" s="23"/>
      <c r="G26" s="23"/>
      <c r="H26" s="23"/>
      <c r="I26" s="11" t="str">
        <f aca="false">IF($A26="","",COUNTIF($D26:$H26,"Y"))</f>
        <v/>
      </c>
      <c r="J26" s="24" t="str">
        <f aca="false">IF($A26="","",IF($I26=5,"Yes - all five gates","No - close "&amp;(5-$I26)&amp;" gap(s) first"))</f>
        <v/>
      </c>
      <c r="K26" s="23"/>
      <c r="L26" s="23"/>
      <c r="M26" s="23"/>
      <c r="N26" s="23"/>
      <c r="O26" s="11" t="str">
        <f aca="false">IF($A26="","",$K26*'Read me'!$B$15+$L26*'Read me'!$B$16+$M26*'Read me'!$B$17+$N26*'Read me'!$B$18)</f>
        <v/>
      </c>
      <c r="P26" s="25" t="str">
        <f aca="false">IF($A26="","",IFERROR(($O26-'Read me'!$B$19)/('Read me'!$B$19*4)*100,""))</f>
        <v/>
      </c>
      <c r="Q26" s="23"/>
      <c r="R26" s="23"/>
      <c r="S26" s="23"/>
      <c r="T26" s="23"/>
      <c r="U26" s="11" t="str">
        <f aca="false">IF($A26="","",$Q26*'Read me'!$B$22+$R26*'Read me'!$B$23+$S26*'Read me'!$B$24+$T26*'Read me'!$B$25)</f>
        <v/>
      </c>
      <c r="V26" s="25" t="str">
        <f aca="false">IF($A26="","",IFERROR(100-(($U26-'Read me'!$B$26)/('Read me'!$B$26*4)*100),""))</f>
        <v/>
      </c>
      <c r="W26" s="24" t="str">
        <f aca="false">IF($A26="","",IF(AND($P26&gt;='Read me'!$B$29,$V26&gt;='Read me'!$B$30),"Build first",IF(AND($P26&gt;='Read me'!$B$29,$V26&lt;'Read me'!$B$30),"Sequence later",IF(AND($P26&lt;'Read me'!$B$29,$V26&gt;='Read me'!$B$30),"Fill capacity","Decline"))))</f>
        <v/>
      </c>
      <c r="X26" s="25" t="str">
        <f aca="false">IF($A26="","",IFERROR(($P26*'Read me'!$B$31+$V26*'Read me'!$B$32)/('Read me'!$B$31+'Read me'!$B$32),""))</f>
        <v/>
      </c>
      <c r="Y26" s="11" t="str">
        <f aca="false">IF($A26="","",SUMPRODUCT(ISNUMBER($X$5:$X$34)*($X$5:$X$34&gt;$X26))+1)</f>
        <v/>
      </c>
    </row>
    <row r="27" customFormat="false" ht="30" hidden="false" customHeight="true" outlineLevel="0" collapsed="false">
      <c r="A27" s="21"/>
      <c r="B27" s="22"/>
      <c r="C27" s="22"/>
      <c r="D27" s="23"/>
      <c r="E27" s="23"/>
      <c r="F27" s="23"/>
      <c r="G27" s="23"/>
      <c r="H27" s="23"/>
      <c r="I27" s="11" t="str">
        <f aca="false">IF($A27="","",COUNTIF($D27:$H27,"Y"))</f>
        <v/>
      </c>
      <c r="J27" s="24" t="str">
        <f aca="false">IF($A27="","",IF($I27=5,"Yes - all five gates","No - close "&amp;(5-$I27)&amp;" gap(s) first"))</f>
        <v/>
      </c>
      <c r="K27" s="23"/>
      <c r="L27" s="23"/>
      <c r="M27" s="23"/>
      <c r="N27" s="23"/>
      <c r="O27" s="11" t="str">
        <f aca="false">IF($A27="","",$K27*'Read me'!$B$15+$L27*'Read me'!$B$16+$M27*'Read me'!$B$17+$N27*'Read me'!$B$18)</f>
        <v/>
      </c>
      <c r="P27" s="25" t="str">
        <f aca="false">IF($A27="","",IFERROR(($O27-'Read me'!$B$19)/('Read me'!$B$19*4)*100,""))</f>
        <v/>
      </c>
      <c r="Q27" s="23"/>
      <c r="R27" s="23"/>
      <c r="S27" s="23"/>
      <c r="T27" s="23"/>
      <c r="U27" s="11" t="str">
        <f aca="false">IF($A27="","",$Q27*'Read me'!$B$22+$R27*'Read me'!$B$23+$S27*'Read me'!$B$24+$T27*'Read me'!$B$25)</f>
        <v/>
      </c>
      <c r="V27" s="25" t="str">
        <f aca="false">IF($A27="","",IFERROR(100-(($U27-'Read me'!$B$26)/('Read me'!$B$26*4)*100),""))</f>
        <v/>
      </c>
      <c r="W27" s="24" t="str">
        <f aca="false">IF($A27="","",IF(AND($P27&gt;='Read me'!$B$29,$V27&gt;='Read me'!$B$30),"Build first",IF(AND($P27&gt;='Read me'!$B$29,$V27&lt;'Read me'!$B$30),"Sequence later",IF(AND($P27&lt;'Read me'!$B$29,$V27&gt;='Read me'!$B$30),"Fill capacity","Decline"))))</f>
        <v/>
      </c>
      <c r="X27" s="25" t="str">
        <f aca="false">IF($A27="","",IFERROR(($P27*'Read me'!$B$31+$V27*'Read me'!$B$32)/('Read me'!$B$31+'Read me'!$B$32),""))</f>
        <v/>
      </c>
      <c r="Y27" s="11" t="str">
        <f aca="false">IF($A27="","",SUMPRODUCT(ISNUMBER($X$5:$X$34)*($X$5:$X$34&gt;$X27))+1)</f>
        <v/>
      </c>
    </row>
    <row r="28" customFormat="false" ht="30" hidden="false" customHeight="true" outlineLevel="0" collapsed="false">
      <c r="A28" s="21"/>
      <c r="B28" s="22"/>
      <c r="C28" s="22"/>
      <c r="D28" s="23"/>
      <c r="E28" s="23"/>
      <c r="F28" s="23"/>
      <c r="G28" s="23"/>
      <c r="H28" s="23"/>
      <c r="I28" s="11" t="str">
        <f aca="false">IF($A28="","",COUNTIF($D28:$H28,"Y"))</f>
        <v/>
      </c>
      <c r="J28" s="24" t="str">
        <f aca="false">IF($A28="","",IF($I28=5,"Yes - all five gates","No - close "&amp;(5-$I28)&amp;" gap(s) first"))</f>
        <v/>
      </c>
      <c r="K28" s="23"/>
      <c r="L28" s="23"/>
      <c r="M28" s="23"/>
      <c r="N28" s="23"/>
      <c r="O28" s="11" t="str">
        <f aca="false">IF($A28="","",$K28*'Read me'!$B$15+$L28*'Read me'!$B$16+$M28*'Read me'!$B$17+$N28*'Read me'!$B$18)</f>
        <v/>
      </c>
      <c r="P28" s="25" t="str">
        <f aca="false">IF($A28="","",IFERROR(($O28-'Read me'!$B$19)/('Read me'!$B$19*4)*100,""))</f>
        <v/>
      </c>
      <c r="Q28" s="23"/>
      <c r="R28" s="23"/>
      <c r="S28" s="23"/>
      <c r="T28" s="23"/>
      <c r="U28" s="11" t="str">
        <f aca="false">IF($A28="","",$Q28*'Read me'!$B$22+$R28*'Read me'!$B$23+$S28*'Read me'!$B$24+$T28*'Read me'!$B$25)</f>
        <v/>
      </c>
      <c r="V28" s="25" t="str">
        <f aca="false">IF($A28="","",IFERROR(100-(($U28-'Read me'!$B$26)/('Read me'!$B$26*4)*100),""))</f>
        <v/>
      </c>
      <c r="W28" s="24" t="str">
        <f aca="false">IF($A28="","",IF(AND($P28&gt;='Read me'!$B$29,$V28&gt;='Read me'!$B$30),"Build first",IF(AND($P28&gt;='Read me'!$B$29,$V28&lt;'Read me'!$B$30),"Sequence later",IF(AND($P28&lt;'Read me'!$B$29,$V28&gt;='Read me'!$B$30),"Fill capacity","Decline"))))</f>
        <v/>
      </c>
      <c r="X28" s="25" t="str">
        <f aca="false">IF($A28="","",IFERROR(($P28*'Read me'!$B$31+$V28*'Read me'!$B$32)/('Read me'!$B$31+'Read me'!$B$32),""))</f>
        <v/>
      </c>
      <c r="Y28" s="11" t="str">
        <f aca="false">IF($A28="","",SUMPRODUCT(ISNUMBER($X$5:$X$34)*($X$5:$X$34&gt;$X28))+1)</f>
        <v/>
      </c>
    </row>
    <row r="29" customFormat="false" ht="30" hidden="false" customHeight="true" outlineLevel="0" collapsed="false">
      <c r="A29" s="21"/>
      <c r="B29" s="22"/>
      <c r="C29" s="22"/>
      <c r="D29" s="23"/>
      <c r="E29" s="23"/>
      <c r="F29" s="23"/>
      <c r="G29" s="23"/>
      <c r="H29" s="23"/>
      <c r="I29" s="11" t="str">
        <f aca="false">IF($A29="","",COUNTIF($D29:$H29,"Y"))</f>
        <v/>
      </c>
      <c r="J29" s="24" t="str">
        <f aca="false">IF($A29="","",IF($I29=5,"Yes - all five gates","No - close "&amp;(5-$I29)&amp;" gap(s) first"))</f>
        <v/>
      </c>
      <c r="K29" s="23"/>
      <c r="L29" s="23"/>
      <c r="M29" s="23"/>
      <c r="N29" s="23"/>
      <c r="O29" s="11" t="str">
        <f aca="false">IF($A29="","",$K29*'Read me'!$B$15+$L29*'Read me'!$B$16+$M29*'Read me'!$B$17+$N29*'Read me'!$B$18)</f>
        <v/>
      </c>
      <c r="P29" s="25" t="str">
        <f aca="false">IF($A29="","",IFERROR(($O29-'Read me'!$B$19)/('Read me'!$B$19*4)*100,""))</f>
        <v/>
      </c>
      <c r="Q29" s="23"/>
      <c r="R29" s="23"/>
      <c r="S29" s="23"/>
      <c r="T29" s="23"/>
      <c r="U29" s="11" t="str">
        <f aca="false">IF($A29="","",$Q29*'Read me'!$B$22+$R29*'Read me'!$B$23+$S29*'Read me'!$B$24+$T29*'Read me'!$B$25)</f>
        <v/>
      </c>
      <c r="V29" s="25" t="str">
        <f aca="false">IF($A29="","",IFERROR(100-(($U29-'Read me'!$B$26)/('Read me'!$B$26*4)*100),""))</f>
        <v/>
      </c>
      <c r="W29" s="24" t="str">
        <f aca="false">IF($A29="","",IF(AND($P29&gt;='Read me'!$B$29,$V29&gt;='Read me'!$B$30),"Build first",IF(AND($P29&gt;='Read me'!$B$29,$V29&lt;'Read me'!$B$30),"Sequence later",IF(AND($P29&lt;'Read me'!$B$29,$V29&gt;='Read me'!$B$30),"Fill capacity","Decline"))))</f>
        <v/>
      </c>
      <c r="X29" s="25" t="str">
        <f aca="false">IF($A29="","",IFERROR(($P29*'Read me'!$B$31+$V29*'Read me'!$B$32)/('Read me'!$B$31+'Read me'!$B$32),""))</f>
        <v/>
      </c>
      <c r="Y29" s="11" t="str">
        <f aca="false">IF($A29="","",SUMPRODUCT(ISNUMBER($X$5:$X$34)*($X$5:$X$34&gt;$X29))+1)</f>
        <v/>
      </c>
    </row>
    <row r="30" customFormat="false" ht="30" hidden="false" customHeight="true" outlineLevel="0" collapsed="false">
      <c r="A30" s="21"/>
      <c r="B30" s="22"/>
      <c r="C30" s="22"/>
      <c r="D30" s="23"/>
      <c r="E30" s="23"/>
      <c r="F30" s="23"/>
      <c r="G30" s="23"/>
      <c r="H30" s="23"/>
      <c r="I30" s="11" t="str">
        <f aca="false">IF($A30="","",COUNTIF($D30:$H30,"Y"))</f>
        <v/>
      </c>
      <c r="J30" s="24" t="str">
        <f aca="false">IF($A30="","",IF($I30=5,"Yes - all five gates","No - close "&amp;(5-$I30)&amp;" gap(s) first"))</f>
        <v/>
      </c>
      <c r="K30" s="23"/>
      <c r="L30" s="23"/>
      <c r="M30" s="23"/>
      <c r="N30" s="23"/>
      <c r="O30" s="11" t="str">
        <f aca="false">IF($A30="","",$K30*'Read me'!$B$15+$L30*'Read me'!$B$16+$M30*'Read me'!$B$17+$N30*'Read me'!$B$18)</f>
        <v/>
      </c>
      <c r="P30" s="25" t="str">
        <f aca="false">IF($A30="","",IFERROR(($O30-'Read me'!$B$19)/('Read me'!$B$19*4)*100,""))</f>
        <v/>
      </c>
      <c r="Q30" s="23"/>
      <c r="R30" s="23"/>
      <c r="S30" s="23"/>
      <c r="T30" s="23"/>
      <c r="U30" s="11" t="str">
        <f aca="false">IF($A30="","",$Q30*'Read me'!$B$22+$R30*'Read me'!$B$23+$S30*'Read me'!$B$24+$T30*'Read me'!$B$25)</f>
        <v/>
      </c>
      <c r="V30" s="25" t="str">
        <f aca="false">IF($A30="","",IFERROR(100-(($U30-'Read me'!$B$26)/('Read me'!$B$26*4)*100),""))</f>
        <v/>
      </c>
      <c r="W30" s="24" t="str">
        <f aca="false">IF($A30="","",IF(AND($P30&gt;='Read me'!$B$29,$V30&gt;='Read me'!$B$30),"Build first",IF(AND($P30&gt;='Read me'!$B$29,$V30&lt;'Read me'!$B$30),"Sequence later",IF(AND($P30&lt;'Read me'!$B$29,$V30&gt;='Read me'!$B$30),"Fill capacity","Decline"))))</f>
        <v/>
      </c>
      <c r="X30" s="25" t="str">
        <f aca="false">IF($A30="","",IFERROR(($P30*'Read me'!$B$31+$V30*'Read me'!$B$32)/('Read me'!$B$31+'Read me'!$B$32),""))</f>
        <v/>
      </c>
      <c r="Y30" s="11" t="str">
        <f aca="false">IF($A30="","",SUMPRODUCT(ISNUMBER($X$5:$X$34)*($X$5:$X$34&gt;$X30))+1)</f>
        <v/>
      </c>
    </row>
    <row r="31" customFormat="false" ht="30" hidden="false" customHeight="true" outlineLevel="0" collapsed="false">
      <c r="A31" s="21"/>
      <c r="B31" s="22"/>
      <c r="C31" s="22"/>
      <c r="D31" s="23"/>
      <c r="E31" s="23"/>
      <c r="F31" s="23"/>
      <c r="G31" s="23"/>
      <c r="H31" s="23"/>
      <c r="I31" s="11" t="str">
        <f aca="false">IF($A31="","",COUNTIF($D31:$H31,"Y"))</f>
        <v/>
      </c>
      <c r="J31" s="24" t="str">
        <f aca="false">IF($A31="","",IF($I31=5,"Yes - all five gates","No - close "&amp;(5-$I31)&amp;" gap(s) first"))</f>
        <v/>
      </c>
      <c r="K31" s="23"/>
      <c r="L31" s="23"/>
      <c r="M31" s="23"/>
      <c r="N31" s="23"/>
      <c r="O31" s="11" t="str">
        <f aca="false">IF($A31="","",$K31*'Read me'!$B$15+$L31*'Read me'!$B$16+$M31*'Read me'!$B$17+$N31*'Read me'!$B$18)</f>
        <v/>
      </c>
      <c r="P31" s="25" t="str">
        <f aca="false">IF($A31="","",IFERROR(($O31-'Read me'!$B$19)/('Read me'!$B$19*4)*100,""))</f>
        <v/>
      </c>
      <c r="Q31" s="23"/>
      <c r="R31" s="23"/>
      <c r="S31" s="23"/>
      <c r="T31" s="23"/>
      <c r="U31" s="11" t="str">
        <f aca="false">IF($A31="","",$Q31*'Read me'!$B$22+$R31*'Read me'!$B$23+$S31*'Read me'!$B$24+$T31*'Read me'!$B$25)</f>
        <v/>
      </c>
      <c r="V31" s="25" t="str">
        <f aca="false">IF($A31="","",IFERROR(100-(($U31-'Read me'!$B$26)/('Read me'!$B$26*4)*100),""))</f>
        <v/>
      </c>
      <c r="W31" s="24" t="str">
        <f aca="false">IF($A31="","",IF(AND($P31&gt;='Read me'!$B$29,$V31&gt;='Read me'!$B$30),"Build first",IF(AND($P31&gt;='Read me'!$B$29,$V31&lt;'Read me'!$B$30),"Sequence later",IF(AND($P31&lt;'Read me'!$B$29,$V31&gt;='Read me'!$B$30),"Fill capacity","Decline"))))</f>
        <v/>
      </c>
      <c r="X31" s="25" t="str">
        <f aca="false">IF($A31="","",IFERROR(($P31*'Read me'!$B$31+$V31*'Read me'!$B$32)/('Read me'!$B$31+'Read me'!$B$32),""))</f>
        <v/>
      </c>
      <c r="Y31" s="11" t="str">
        <f aca="false">IF($A31="","",SUMPRODUCT(ISNUMBER($X$5:$X$34)*($X$5:$X$34&gt;$X31))+1)</f>
        <v/>
      </c>
    </row>
    <row r="32" customFormat="false" ht="30" hidden="false" customHeight="true" outlineLevel="0" collapsed="false">
      <c r="A32" s="21"/>
      <c r="B32" s="22"/>
      <c r="C32" s="22"/>
      <c r="D32" s="23"/>
      <c r="E32" s="23"/>
      <c r="F32" s="23"/>
      <c r="G32" s="23"/>
      <c r="H32" s="23"/>
      <c r="I32" s="11" t="str">
        <f aca="false">IF($A32="","",COUNTIF($D32:$H32,"Y"))</f>
        <v/>
      </c>
      <c r="J32" s="24" t="str">
        <f aca="false">IF($A32="","",IF($I32=5,"Yes - all five gates","No - close "&amp;(5-$I32)&amp;" gap(s) first"))</f>
        <v/>
      </c>
      <c r="K32" s="23"/>
      <c r="L32" s="23"/>
      <c r="M32" s="23"/>
      <c r="N32" s="23"/>
      <c r="O32" s="11" t="str">
        <f aca="false">IF($A32="","",$K32*'Read me'!$B$15+$L32*'Read me'!$B$16+$M32*'Read me'!$B$17+$N32*'Read me'!$B$18)</f>
        <v/>
      </c>
      <c r="P32" s="25" t="str">
        <f aca="false">IF($A32="","",IFERROR(($O32-'Read me'!$B$19)/('Read me'!$B$19*4)*100,""))</f>
        <v/>
      </c>
      <c r="Q32" s="23"/>
      <c r="R32" s="23"/>
      <c r="S32" s="23"/>
      <c r="T32" s="23"/>
      <c r="U32" s="11" t="str">
        <f aca="false">IF($A32="","",$Q32*'Read me'!$B$22+$R32*'Read me'!$B$23+$S32*'Read me'!$B$24+$T32*'Read me'!$B$25)</f>
        <v/>
      </c>
      <c r="V32" s="25" t="str">
        <f aca="false">IF($A32="","",IFERROR(100-(($U32-'Read me'!$B$26)/('Read me'!$B$26*4)*100),""))</f>
        <v/>
      </c>
      <c r="W32" s="24" t="str">
        <f aca="false">IF($A32="","",IF(AND($P32&gt;='Read me'!$B$29,$V32&gt;='Read me'!$B$30),"Build first",IF(AND($P32&gt;='Read me'!$B$29,$V32&lt;'Read me'!$B$30),"Sequence later",IF(AND($P32&lt;'Read me'!$B$29,$V32&gt;='Read me'!$B$30),"Fill capacity","Decline"))))</f>
        <v/>
      </c>
      <c r="X32" s="25" t="str">
        <f aca="false">IF($A32="","",IFERROR(($P32*'Read me'!$B$31+$V32*'Read me'!$B$32)/('Read me'!$B$31+'Read me'!$B$32),""))</f>
        <v/>
      </c>
      <c r="Y32" s="11" t="str">
        <f aca="false">IF($A32="","",SUMPRODUCT(ISNUMBER($X$5:$X$34)*($X$5:$X$34&gt;$X32))+1)</f>
        <v/>
      </c>
    </row>
    <row r="33" customFormat="false" ht="30" hidden="false" customHeight="true" outlineLevel="0" collapsed="false">
      <c r="A33" s="21"/>
      <c r="B33" s="22"/>
      <c r="C33" s="22"/>
      <c r="D33" s="23"/>
      <c r="E33" s="23"/>
      <c r="F33" s="23"/>
      <c r="G33" s="23"/>
      <c r="H33" s="23"/>
      <c r="I33" s="11" t="str">
        <f aca="false">IF($A33="","",COUNTIF($D33:$H33,"Y"))</f>
        <v/>
      </c>
      <c r="J33" s="24" t="str">
        <f aca="false">IF($A33="","",IF($I33=5,"Yes - all five gates","No - close "&amp;(5-$I33)&amp;" gap(s) first"))</f>
        <v/>
      </c>
      <c r="K33" s="23"/>
      <c r="L33" s="23"/>
      <c r="M33" s="23"/>
      <c r="N33" s="23"/>
      <c r="O33" s="11" t="str">
        <f aca="false">IF($A33="","",$K33*'Read me'!$B$15+$L33*'Read me'!$B$16+$M33*'Read me'!$B$17+$N33*'Read me'!$B$18)</f>
        <v/>
      </c>
      <c r="P33" s="25" t="str">
        <f aca="false">IF($A33="","",IFERROR(($O33-'Read me'!$B$19)/('Read me'!$B$19*4)*100,""))</f>
        <v/>
      </c>
      <c r="Q33" s="23"/>
      <c r="R33" s="23"/>
      <c r="S33" s="23"/>
      <c r="T33" s="23"/>
      <c r="U33" s="11" t="str">
        <f aca="false">IF($A33="","",$Q33*'Read me'!$B$22+$R33*'Read me'!$B$23+$S33*'Read me'!$B$24+$T33*'Read me'!$B$25)</f>
        <v/>
      </c>
      <c r="V33" s="25" t="str">
        <f aca="false">IF($A33="","",IFERROR(100-(($U33-'Read me'!$B$26)/('Read me'!$B$26*4)*100),""))</f>
        <v/>
      </c>
      <c r="W33" s="24" t="str">
        <f aca="false">IF($A33="","",IF(AND($P33&gt;='Read me'!$B$29,$V33&gt;='Read me'!$B$30),"Build first",IF(AND($P33&gt;='Read me'!$B$29,$V33&lt;'Read me'!$B$30),"Sequence later",IF(AND($P33&lt;'Read me'!$B$29,$V33&gt;='Read me'!$B$30),"Fill capacity","Decline"))))</f>
        <v/>
      </c>
      <c r="X33" s="25" t="str">
        <f aca="false">IF($A33="","",IFERROR(($P33*'Read me'!$B$31+$V33*'Read me'!$B$32)/('Read me'!$B$31+'Read me'!$B$32),""))</f>
        <v/>
      </c>
      <c r="Y33" s="11" t="str">
        <f aca="false">IF($A33="","",SUMPRODUCT(ISNUMBER($X$5:$X$34)*($X$5:$X$34&gt;$X33))+1)</f>
        <v/>
      </c>
    </row>
    <row r="34" customFormat="false" ht="30" hidden="false" customHeight="true" outlineLevel="0" collapsed="false">
      <c r="A34" s="21"/>
      <c r="B34" s="22"/>
      <c r="C34" s="22"/>
      <c r="D34" s="23"/>
      <c r="E34" s="23"/>
      <c r="F34" s="23"/>
      <c r="G34" s="23"/>
      <c r="H34" s="23"/>
      <c r="I34" s="11" t="str">
        <f aca="false">IF($A34="","",COUNTIF($D34:$H34,"Y"))</f>
        <v/>
      </c>
      <c r="J34" s="24" t="str">
        <f aca="false">IF($A34="","",IF($I34=5,"Yes - all five gates","No - close "&amp;(5-$I34)&amp;" gap(s) first"))</f>
        <v/>
      </c>
      <c r="K34" s="23"/>
      <c r="L34" s="23"/>
      <c r="M34" s="23"/>
      <c r="N34" s="23"/>
      <c r="O34" s="11" t="str">
        <f aca="false">IF($A34="","",$K34*'Read me'!$B$15+$L34*'Read me'!$B$16+$M34*'Read me'!$B$17+$N34*'Read me'!$B$18)</f>
        <v/>
      </c>
      <c r="P34" s="25" t="str">
        <f aca="false">IF($A34="","",IFERROR(($O34-'Read me'!$B$19)/('Read me'!$B$19*4)*100,""))</f>
        <v/>
      </c>
      <c r="Q34" s="23"/>
      <c r="R34" s="23"/>
      <c r="S34" s="23"/>
      <c r="T34" s="23"/>
      <c r="U34" s="11" t="str">
        <f aca="false">IF($A34="","",$Q34*'Read me'!$B$22+$R34*'Read me'!$B$23+$S34*'Read me'!$B$24+$T34*'Read me'!$B$25)</f>
        <v/>
      </c>
      <c r="V34" s="25" t="str">
        <f aca="false">IF($A34="","",IFERROR(100-(($U34-'Read me'!$B$26)/('Read me'!$B$26*4)*100),""))</f>
        <v/>
      </c>
      <c r="W34" s="24" t="str">
        <f aca="false">IF($A34="","",IF(AND($P34&gt;='Read me'!$B$29,$V34&gt;='Read me'!$B$30),"Build first",IF(AND($P34&gt;='Read me'!$B$29,$V34&lt;'Read me'!$B$30),"Sequence later",IF(AND($P34&lt;'Read me'!$B$29,$V34&gt;='Read me'!$B$30),"Fill capacity","Decline"))))</f>
        <v/>
      </c>
      <c r="X34" s="25" t="str">
        <f aca="false">IF($A34="","",IFERROR(($P34*'Read me'!$B$31+$V34*'Read me'!$B$32)/('Read me'!$B$31+'Read me'!$B$32),""))</f>
        <v/>
      </c>
      <c r="Y34" s="11" t="str">
        <f aca="false">IF($A34="","",SUMPRODUCT(ISNUMBER($X$5:$X$34)*($X$5:$X$34&gt;$X34))+1)</f>
        <v/>
      </c>
    </row>
  </sheetData>
  <mergeCells count="5">
    <mergeCell ref="A3:C3"/>
    <mergeCell ref="D3:J3"/>
    <mergeCell ref="K3:P3"/>
    <mergeCell ref="Q3:V3"/>
    <mergeCell ref="W3:Y3"/>
  </mergeCells>
  <conditionalFormatting sqref="W5:W34">
    <cfRule type="expression" priority="2" aboveAverage="0" equalAverage="0" bottom="0" percent="0" rank="0" text="" dxfId="0">
      <formula>EXACT($W5,"Build first")</formula>
    </cfRule>
    <cfRule type="expression" priority="3" aboveAverage="0" equalAverage="0" bottom="0" percent="0" rank="0" text="" dxfId="1">
      <formula>EXACT($W5,"Sequence later")</formula>
    </cfRule>
    <cfRule type="expression" priority="4" aboveAverage="0" equalAverage="0" bottom="0" percent="0" rank="0" text="" dxfId="2">
      <formula>EXACT($W5,"Fill capacity")</formula>
    </cfRule>
    <cfRule type="expression" priority="5" aboveAverage="0" equalAverage="0" bottom="0" percent="0" rank="0" text="" dxfId="3">
      <formula>EXACT($W5,"Decline")</formula>
    </cfRule>
  </conditionalFormatting>
  <conditionalFormatting sqref="J5:J34">
    <cfRule type="expression" priority="6" aboveAverage="0" equalAverage="0" bottom="0" percent="0" rank="0" text="" dxfId="4">
      <formula>AND($A5&lt;&gt;"",$I5=5)</formula>
    </cfRule>
    <cfRule type="expression" priority="7" aboveAverage="0" equalAverage="0" bottom="0" percent="0" rank="0" text="" dxfId="5">
      <formula>AND($A5&lt;&gt;"",$I5&lt;5)</formula>
    </cfRule>
  </conditionalFormatting>
  <dataValidations count="2">
    <dataValidation allowBlank="true" error="Answer each gate with Y or N." errorStyle="stop" errorTitle="Y or N" operator="between" showDropDown="false" showErrorMessage="true" showInputMessage="false" sqref="D5:H34" type="list">
      <formula1>"Y,N"</formula1>
      <formula2>0</formula2>
    </dataValidation>
    <dataValidation allowBlank="true" error="Score this input from 1 to 5. See the Scoring guide tab." errorStyle="stop" errorTitle="Score 1-5" operator="between" showDropDown="false" showErrorMessage="true" showInputMessage="false" sqref="K5:N34 Q5:T34"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9" min="9" style="0" width="9"/>
    <col collapsed="false" customWidth="true" hidden="false" outlineLevel="0" max="10" min="10" style="0" width="17"/>
    <col collapsed="false" customWidth="true" hidden="false" outlineLevel="0" max="11" min="11" style="0" width="11"/>
    <col collapsed="false" customWidth="true" hidden="false" outlineLevel="0" max="12" min="12" style="0" width="8"/>
    <col collapsed="false" customWidth="true" hidden="false" outlineLevel="0" max="13" min="13" style="0" width="10"/>
    <col collapsed="false" customWidth="true" hidden="false" outlineLevel="0" max="14" min="14" style="0" width="11"/>
    <col collapsed="false" customWidth="true" hidden="false" outlineLevel="0" max="15" min="15" style="0" width="9"/>
    <col collapsed="false" customWidth="true" hidden="false" outlineLevel="0" max="17" min="16" style="0" width="11"/>
    <col collapsed="false" customWidth="true" hidden="false" outlineLevel="0" max="18" min="18" style="0" width="13"/>
    <col collapsed="false" customWidth="true" hidden="false" outlineLevel="0" max="19" min="19" style="0" width="12"/>
    <col collapsed="false" customWidth="true" hidden="false" outlineLevel="0" max="20" min="20" style="0" width="10"/>
    <col collapsed="false" customWidth="true" hidden="false" outlineLevel="0" max="21" min="21" style="0" width="9"/>
    <col collapsed="false" customWidth="true" hidden="false" outlineLevel="0" max="22" min="22" style="0" width="11"/>
    <col collapsed="false" customWidth="true" hidden="false" outlineLevel="0" max="23" min="23" style="0" width="16"/>
    <col collapsed="false" customWidth="true" hidden="false" outlineLevel="0" max="24" min="24" style="0" width="11"/>
    <col collapsed="false" customWidth="true" hidden="false" outlineLevel="0" max="25" min="25" style="0" width="9"/>
  </cols>
  <sheetData>
    <row r="1" customFormat="false" ht="24" hidden="false" customHeight="true" outlineLevel="0" collapsed="false">
      <c r="A1" s="13" t="s">
        <v>73</v>
      </c>
    </row>
    <row r="2" customFormat="false" ht="15.75" hidden="false" customHeight="true" outlineLevel="0" collapsed="false">
      <c r="A2" s="14" t="s">
        <v>74</v>
      </c>
    </row>
    <row r="3" customFormat="false" ht="19.5" hidden="false" customHeight="true" outlineLevel="0" collapsed="false">
      <c r="A3" s="15" t="s">
        <v>41</v>
      </c>
      <c r="B3" s="15"/>
      <c r="C3" s="15"/>
      <c r="D3" s="16" t="s">
        <v>42</v>
      </c>
      <c r="E3" s="16"/>
      <c r="F3" s="16"/>
      <c r="G3" s="16"/>
      <c r="H3" s="16"/>
      <c r="I3" s="16"/>
      <c r="J3" s="16"/>
      <c r="K3" s="17" t="s">
        <v>43</v>
      </c>
      <c r="L3" s="17"/>
      <c r="M3" s="17"/>
      <c r="N3" s="17"/>
      <c r="O3" s="17"/>
      <c r="P3" s="17"/>
      <c r="Q3" s="18" t="s">
        <v>44</v>
      </c>
      <c r="R3" s="18"/>
      <c r="S3" s="18"/>
      <c r="T3" s="18"/>
      <c r="U3" s="18"/>
      <c r="V3" s="18"/>
      <c r="W3" s="15" t="s">
        <v>45</v>
      </c>
      <c r="X3" s="15"/>
      <c r="Y3" s="15"/>
    </row>
    <row r="4" customFormat="false" ht="54" hidden="false" customHeight="true" outlineLevel="0" collapsed="false">
      <c r="A4" s="19" t="s">
        <v>46</v>
      </c>
      <c r="B4" s="19" t="s">
        <v>47</v>
      </c>
      <c r="C4" s="19" t="s">
        <v>48</v>
      </c>
      <c r="D4" s="19" t="s">
        <v>49</v>
      </c>
      <c r="E4" s="19" t="s">
        <v>50</v>
      </c>
      <c r="F4" s="19" t="s">
        <v>51</v>
      </c>
      <c r="G4" s="19" t="s">
        <v>52</v>
      </c>
      <c r="H4" s="19" t="s">
        <v>53</v>
      </c>
      <c r="I4" s="20" t="s">
        <v>54</v>
      </c>
      <c r="J4" s="20" t="s">
        <v>55</v>
      </c>
      <c r="K4" s="19" t="s">
        <v>56</v>
      </c>
      <c r="L4" s="19" t="s">
        <v>57</v>
      </c>
      <c r="M4" s="19" t="s">
        <v>58</v>
      </c>
      <c r="N4" s="19" t="s">
        <v>16</v>
      </c>
      <c r="O4" s="20" t="s">
        <v>59</v>
      </c>
      <c r="P4" s="20" t="s">
        <v>60</v>
      </c>
      <c r="Q4" s="19" t="s">
        <v>61</v>
      </c>
      <c r="R4" s="19" t="s">
        <v>62</v>
      </c>
      <c r="S4" s="19" t="s">
        <v>63</v>
      </c>
      <c r="T4" s="19" t="s">
        <v>22</v>
      </c>
      <c r="U4" s="20" t="s">
        <v>64</v>
      </c>
      <c r="V4" s="20" t="s">
        <v>65</v>
      </c>
      <c r="W4" s="19" t="s">
        <v>66</v>
      </c>
      <c r="X4" s="20" t="s">
        <v>67</v>
      </c>
      <c r="Y4" s="20" t="s">
        <v>68</v>
      </c>
    </row>
    <row r="5" customFormat="false" ht="30" hidden="false" customHeight="true" outlineLevel="0" collapsed="false">
      <c r="A5" s="21" t="s">
        <v>69</v>
      </c>
      <c r="B5" s="22" t="s">
        <v>70</v>
      </c>
      <c r="C5" s="22" t="s">
        <v>71</v>
      </c>
      <c r="D5" s="23" t="s">
        <v>72</v>
      </c>
      <c r="E5" s="23" t="s">
        <v>72</v>
      </c>
      <c r="F5" s="23" t="s">
        <v>72</v>
      </c>
      <c r="G5" s="23" t="s">
        <v>72</v>
      </c>
      <c r="H5" s="23" t="s">
        <v>72</v>
      </c>
      <c r="I5" s="11" t="n">
        <f aca="false">IF($A5="","",COUNTIF($D5:$H5,"Y"))</f>
        <v>5</v>
      </c>
      <c r="J5" s="24" t="str">
        <f aca="false">IF($A5="","",IF($I5=5,"Yes - all five gates","No - close "&amp;(5-$I5)&amp;" gap(s) first"))</f>
        <v>Yes - all five gates</v>
      </c>
      <c r="K5" s="23" t="n">
        <v>5</v>
      </c>
      <c r="L5" s="23" t="n">
        <v>5</v>
      </c>
      <c r="M5" s="23" t="n">
        <v>4</v>
      </c>
      <c r="N5" s="23" t="n">
        <v>4</v>
      </c>
      <c r="O5" s="11" t="n">
        <f aca="false">IF($A5="","",$K5*'Read me'!$B$15+$L5*'Read me'!$B$16+$M5*'Read me'!$B$17+$N5*'Read me'!$B$18)</f>
        <v>37</v>
      </c>
      <c r="P5" s="25" t="n">
        <f aca="false">IF($A5="","",IFERROR(($O5-'Read me'!$B$19)/('Read me'!$B$19*4)*100,""))</f>
        <v>90.625</v>
      </c>
      <c r="Q5" s="23" t="n">
        <v>2</v>
      </c>
      <c r="R5" s="23" t="n">
        <v>2</v>
      </c>
      <c r="S5" s="23" t="n">
        <v>2</v>
      </c>
      <c r="T5" s="23" t="n">
        <v>1</v>
      </c>
      <c r="U5" s="11" t="n">
        <f aca="false">IF($A5="","",$Q5*'Read me'!$B$22+$R5*'Read me'!$B$23+$S5*'Read me'!$B$24+$T5*'Read me'!$B$25)</f>
        <v>17</v>
      </c>
      <c r="V5" s="25" t="n">
        <f aca="false">IF($A5="","",IFERROR(100-(($U5-'Read me'!$B$26)/('Read me'!$B$26*4)*100),""))</f>
        <v>77.7777777777778</v>
      </c>
      <c r="W5" s="24" t="str">
        <f aca="false">IF($A5="","",IF(AND($P5&gt;='Read me'!$B$29,$V5&gt;='Read me'!$B$30),"Build first",IF(AND($P5&gt;='Read me'!$B$29,$V5&lt;'Read me'!$B$30),"Sequence later",IF(AND($P5&lt;'Read me'!$B$29,$V5&gt;='Read me'!$B$30),"Fill capacity","Decline"))))</f>
        <v>Build first</v>
      </c>
      <c r="X5" s="25" t="n">
        <f aca="false">IF($A5="","",IFERROR(($P5*'Read me'!$B$31+$V5*'Read me'!$B$32)/('Read me'!$B$31+'Read me'!$B$32),""))</f>
        <v>86.1284722222222</v>
      </c>
      <c r="Y5" s="11" t="n">
        <f aca="false">IF($A5="","",SUMPRODUCT(ISNUMBER($X$5:$X$14)*($X$5:$X$14&gt;$X5))+1)</f>
        <v>1</v>
      </c>
    </row>
    <row r="6" customFormat="false" ht="30" hidden="false" customHeight="true" outlineLevel="0" collapsed="false">
      <c r="A6" s="21" t="s">
        <v>75</v>
      </c>
      <c r="B6" s="22" t="s">
        <v>76</v>
      </c>
      <c r="C6" s="22" t="s">
        <v>77</v>
      </c>
      <c r="D6" s="23" t="s">
        <v>72</v>
      </c>
      <c r="E6" s="23" t="s">
        <v>72</v>
      </c>
      <c r="F6" s="23" t="s">
        <v>72</v>
      </c>
      <c r="G6" s="23" t="s">
        <v>72</v>
      </c>
      <c r="H6" s="23" t="s">
        <v>72</v>
      </c>
      <c r="I6" s="11" t="n">
        <f aca="false">IF($A6="","",COUNTIF($D6:$H6,"Y"))</f>
        <v>5</v>
      </c>
      <c r="J6" s="24" t="str">
        <f aca="false">IF($A6="","",IF($I6=5,"Yes - all five gates","No - close "&amp;(5-$I6)&amp;" gap(s) first"))</f>
        <v>Yes - all five gates</v>
      </c>
      <c r="K6" s="23" t="n">
        <v>5</v>
      </c>
      <c r="L6" s="23" t="n">
        <v>5</v>
      </c>
      <c r="M6" s="23" t="n">
        <v>3</v>
      </c>
      <c r="N6" s="23" t="n">
        <v>4</v>
      </c>
      <c r="O6" s="11" t="n">
        <f aca="false">IF($A6="","",$K6*'Read me'!$B$15+$L6*'Read me'!$B$16+$M6*'Read me'!$B$17+$N6*'Read me'!$B$18)</f>
        <v>35</v>
      </c>
      <c r="P6" s="25" t="n">
        <f aca="false">IF($A6="","",IFERROR(($O6-'Read me'!$B$19)/('Read me'!$B$19*4)*100,""))</f>
        <v>84.375</v>
      </c>
      <c r="Q6" s="23" t="n">
        <v>2</v>
      </c>
      <c r="R6" s="23" t="n">
        <v>2</v>
      </c>
      <c r="S6" s="23" t="n">
        <v>2</v>
      </c>
      <c r="T6" s="23" t="n">
        <v>2</v>
      </c>
      <c r="U6" s="11" t="n">
        <f aca="false">IF($A6="","",$Q6*'Read me'!$B$22+$R6*'Read me'!$B$23+$S6*'Read me'!$B$24+$T6*'Read me'!$B$25)</f>
        <v>18</v>
      </c>
      <c r="V6" s="25" t="n">
        <f aca="false">IF($A6="","",IFERROR(100-(($U6-'Read me'!$B$26)/('Read me'!$B$26*4)*100),""))</f>
        <v>75</v>
      </c>
      <c r="W6" s="24" t="str">
        <f aca="false">IF($A6="","",IF(AND($P6&gt;='Read me'!$B$29,$V6&gt;='Read me'!$B$30),"Build first",IF(AND($P6&gt;='Read me'!$B$29,$V6&lt;'Read me'!$B$30),"Sequence later",IF(AND($P6&lt;'Read me'!$B$29,$V6&gt;='Read me'!$B$30),"Fill capacity","Decline"))))</f>
        <v>Build first</v>
      </c>
      <c r="X6" s="25" t="n">
        <f aca="false">IF($A6="","",IFERROR(($P6*'Read me'!$B$31+$V6*'Read me'!$B$32)/('Read me'!$B$31+'Read me'!$B$32),""))</f>
        <v>81.09375</v>
      </c>
      <c r="Y6" s="11" t="n">
        <f aca="false">IF($A6="","",SUMPRODUCT(ISNUMBER($X$5:$X$14)*($X$5:$X$14&gt;$X6))+1)</f>
        <v>2</v>
      </c>
    </row>
    <row r="7" customFormat="false" ht="30" hidden="false" customHeight="true" outlineLevel="0" collapsed="false">
      <c r="A7" s="21" t="s">
        <v>78</v>
      </c>
      <c r="B7" s="22" t="s">
        <v>79</v>
      </c>
      <c r="C7" s="22" t="s">
        <v>80</v>
      </c>
      <c r="D7" s="23" t="s">
        <v>72</v>
      </c>
      <c r="E7" s="23" t="s">
        <v>72</v>
      </c>
      <c r="F7" s="23" t="s">
        <v>72</v>
      </c>
      <c r="G7" s="23" t="s">
        <v>72</v>
      </c>
      <c r="H7" s="23" t="s">
        <v>72</v>
      </c>
      <c r="I7" s="11" t="n">
        <f aca="false">IF($A7="","",COUNTIF($D7:$H7,"Y"))</f>
        <v>5</v>
      </c>
      <c r="J7" s="24" t="str">
        <f aca="false">IF($A7="","",IF($I7=5,"Yes - all five gates","No - close "&amp;(5-$I7)&amp;" gap(s) first"))</f>
        <v>Yes - all five gates</v>
      </c>
      <c r="K7" s="23" t="n">
        <v>4</v>
      </c>
      <c r="L7" s="23" t="n">
        <v>3</v>
      </c>
      <c r="M7" s="23" t="n">
        <v>4</v>
      </c>
      <c r="N7" s="23" t="n">
        <v>4</v>
      </c>
      <c r="O7" s="11" t="n">
        <f aca="false">IF($A7="","",$K7*'Read me'!$B$15+$L7*'Read me'!$B$16+$M7*'Read me'!$B$17+$N7*'Read me'!$B$18)</f>
        <v>30</v>
      </c>
      <c r="P7" s="25" t="n">
        <f aca="false">IF($A7="","",IFERROR(($O7-'Read me'!$B$19)/('Read me'!$B$19*4)*100,""))</f>
        <v>68.75</v>
      </c>
      <c r="Q7" s="23" t="n">
        <v>3</v>
      </c>
      <c r="R7" s="23" t="n">
        <v>2</v>
      </c>
      <c r="S7" s="23" t="n">
        <v>3</v>
      </c>
      <c r="T7" s="23" t="n">
        <v>2</v>
      </c>
      <c r="U7" s="11" t="n">
        <f aca="false">IF($A7="","",$Q7*'Read me'!$B$22+$R7*'Read me'!$B$23+$S7*'Read me'!$B$24+$T7*'Read me'!$B$25)</f>
        <v>23</v>
      </c>
      <c r="V7" s="25" t="n">
        <f aca="false">IF($A7="","",IFERROR(100-(($U7-'Read me'!$B$26)/('Read me'!$B$26*4)*100),""))</f>
        <v>61.1111111111111</v>
      </c>
      <c r="W7" s="24" t="str">
        <f aca="false">IF($A7="","",IF(AND($P7&gt;='Read me'!$B$29,$V7&gt;='Read me'!$B$30),"Build first",IF(AND($P7&gt;='Read me'!$B$29,$V7&lt;'Read me'!$B$30),"Sequence later",IF(AND($P7&lt;'Read me'!$B$29,$V7&gt;='Read me'!$B$30),"Fill capacity","Decline"))))</f>
        <v>Build first</v>
      </c>
      <c r="X7" s="25" t="n">
        <f aca="false">IF($A7="","",IFERROR(($P7*'Read me'!$B$31+$V7*'Read me'!$B$32)/('Read me'!$B$31+'Read me'!$B$32),""))</f>
        <v>66.0763888888889</v>
      </c>
      <c r="Y7" s="11" t="n">
        <f aca="false">IF($A7="","",SUMPRODUCT(ISNUMBER($X$5:$X$14)*($X$5:$X$14&gt;$X7))+1)</f>
        <v>3</v>
      </c>
    </row>
    <row r="8" customFormat="false" ht="30" hidden="false" customHeight="true" outlineLevel="0" collapsed="false">
      <c r="A8" s="21" t="s">
        <v>81</v>
      </c>
      <c r="B8" s="22" t="s">
        <v>82</v>
      </c>
      <c r="C8" s="22" t="s">
        <v>83</v>
      </c>
      <c r="D8" s="23" t="s">
        <v>72</v>
      </c>
      <c r="E8" s="23" t="s">
        <v>72</v>
      </c>
      <c r="F8" s="23" t="s">
        <v>72</v>
      </c>
      <c r="G8" s="23" t="s">
        <v>72</v>
      </c>
      <c r="H8" s="23" t="s">
        <v>72</v>
      </c>
      <c r="I8" s="11" t="n">
        <f aca="false">IF($A8="","",COUNTIF($D8:$H8,"Y"))</f>
        <v>5</v>
      </c>
      <c r="J8" s="24" t="str">
        <f aca="false">IF($A8="","",IF($I8=5,"Yes - all five gates","No - close "&amp;(5-$I8)&amp;" gap(s) first"))</f>
        <v>Yes - all five gates</v>
      </c>
      <c r="K8" s="23" t="n">
        <v>4</v>
      </c>
      <c r="L8" s="23" t="n">
        <v>4</v>
      </c>
      <c r="M8" s="23" t="n">
        <v>3</v>
      </c>
      <c r="N8" s="23" t="n">
        <v>3</v>
      </c>
      <c r="O8" s="11" t="n">
        <f aca="false">IF($A8="","",$K8*'Read me'!$B$15+$L8*'Read me'!$B$16+$M8*'Read me'!$B$17+$N8*'Read me'!$B$18)</f>
        <v>29</v>
      </c>
      <c r="P8" s="25" t="n">
        <f aca="false">IF($A8="","",IFERROR(($O8-'Read me'!$B$19)/('Read me'!$B$19*4)*100,""))</f>
        <v>65.625</v>
      </c>
      <c r="Q8" s="23" t="n">
        <v>3</v>
      </c>
      <c r="R8" s="23" t="n">
        <v>3</v>
      </c>
      <c r="S8" s="23" t="n">
        <v>2</v>
      </c>
      <c r="T8" s="23" t="n">
        <v>2</v>
      </c>
      <c r="U8" s="11" t="n">
        <f aca="false">IF($A8="","",$Q8*'Read me'!$B$22+$R8*'Read me'!$B$23+$S8*'Read me'!$B$24+$T8*'Read me'!$B$25)</f>
        <v>24</v>
      </c>
      <c r="V8" s="25" t="n">
        <f aca="false">IF($A8="","",IFERROR(100-(($U8-'Read me'!$B$26)/('Read me'!$B$26*4)*100),""))</f>
        <v>58.3333333333333</v>
      </c>
      <c r="W8" s="24" t="str">
        <f aca="false">IF($A8="","",IF(AND($P8&gt;='Read me'!$B$29,$V8&gt;='Read me'!$B$30),"Build first",IF(AND($P8&gt;='Read me'!$B$29,$V8&lt;'Read me'!$B$30),"Sequence later",IF(AND($P8&lt;'Read me'!$B$29,$V8&gt;='Read me'!$B$30),"Fill capacity","Decline"))))</f>
        <v>Build first</v>
      </c>
      <c r="X8" s="25" t="n">
        <f aca="false">IF($A8="","",IFERROR(($P8*'Read me'!$B$31+$V8*'Read me'!$B$32)/('Read me'!$B$31+'Read me'!$B$32),""))</f>
        <v>63.0729166666667</v>
      </c>
      <c r="Y8" s="11" t="n">
        <f aca="false">IF($A8="","",SUMPRODUCT(ISNUMBER($X$5:$X$14)*($X$5:$X$14&gt;$X8))+1)</f>
        <v>4</v>
      </c>
    </row>
    <row r="9" customFormat="false" ht="30" hidden="false" customHeight="true" outlineLevel="0" collapsed="false">
      <c r="A9" s="21" t="s">
        <v>84</v>
      </c>
      <c r="B9" s="22" t="s">
        <v>85</v>
      </c>
      <c r="C9" s="22" t="s">
        <v>86</v>
      </c>
      <c r="D9" s="23" t="s">
        <v>72</v>
      </c>
      <c r="E9" s="23" t="s">
        <v>72</v>
      </c>
      <c r="F9" s="23" t="s">
        <v>72</v>
      </c>
      <c r="G9" s="23" t="s">
        <v>72</v>
      </c>
      <c r="H9" s="23" t="s">
        <v>87</v>
      </c>
      <c r="I9" s="11" t="n">
        <f aca="false">IF($A9="","",COUNTIF($D9:$H9,"Y"))</f>
        <v>4</v>
      </c>
      <c r="J9" s="24" t="str">
        <f aca="false">IF($A9="","",IF($I9=5,"Yes - all five gates","No - close "&amp;(5-$I9)&amp;" gap(s) first"))</f>
        <v>No - close 1 gap(s) first</v>
      </c>
      <c r="K9" s="23" t="n">
        <v>2</v>
      </c>
      <c r="L9" s="23" t="n">
        <v>3</v>
      </c>
      <c r="M9" s="23" t="n">
        <v>2</v>
      </c>
      <c r="N9" s="23" t="n">
        <v>2</v>
      </c>
      <c r="O9" s="11" t="n">
        <f aca="false">IF($A9="","",$K9*'Read me'!$B$15+$L9*'Read me'!$B$16+$M9*'Read me'!$B$17+$N9*'Read me'!$B$18)</f>
        <v>18</v>
      </c>
      <c r="P9" s="25" t="n">
        <f aca="false">IF($A9="","",IFERROR(($O9-'Read me'!$B$19)/('Read me'!$B$19*4)*100,""))</f>
        <v>31.25</v>
      </c>
      <c r="Q9" s="23" t="n">
        <v>2</v>
      </c>
      <c r="R9" s="23" t="n">
        <v>2</v>
      </c>
      <c r="S9" s="23" t="n">
        <v>2</v>
      </c>
      <c r="T9" s="23" t="n">
        <v>2</v>
      </c>
      <c r="U9" s="11" t="n">
        <f aca="false">IF($A9="","",$Q9*'Read me'!$B$22+$R9*'Read me'!$B$23+$S9*'Read me'!$B$24+$T9*'Read me'!$B$25)</f>
        <v>18</v>
      </c>
      <c r="V9" s="25" t="n">
        <f aca="false">IF($A9="","",IFERROR(100-(($U9-'Read me'!$B$26)/('Read me'!$B$26*4)*100),""))</f>
        <v>75</v>
      </c>
      <c r="W9" s="24" t="str">
        <f aca="false">IF($A9="","",IF(AND($P9&gt;='Read me'!$B$29,$V9&gt;='Read me'!$B$30),"Build first",IF(AND($P9&gt;='Read me'!$B$29,$V9&lt;'Read me'!$B$30),"Sequence later",IF(AND($P9&lt;'Read me'!$B$29,$V9&gt;='Read me'!$B$30),"Fill capacity","Decline"))))</f>
        <v>Fill capacity</v>
      </c>
      <c r="X9" s="25" t="n">
        <f aca="false">IF($A9="","",IFERROR(($P9*'Read me'!$B$31+$V9*'Read me'!$B$32)/('Read me'!$B$31+'Read me'!$B$32),""))</f>
        <v>46.5625</v>
      </c>
      <c r="Y9" s="11" t="n">
        <f aca="false">IF($A9="","",SUMPRODUCT(ISNUMBER($X$5:$X$14)*($X$5:$X$14&gt;$X9))+1)</f>
        <v>9</v>
      </c>
    </row>
    <row r="10" customFormat="false" ht="30" hidden="false" customHeight="true" outlineLevel="0" collapsed="false">
      <c r="A10" s="21" t="s">
        <v>88</v>
      </c>
      <c r="B10" s="22" t="s">
        <v>89</v>
      </c>
      <c r="C10" s="22" t="s">
        <v>90</v>
      </c>
      <c r="D10" s="23" t="s">
        <v>72</v>
      </c>
      <c r="E10" s="23" t="s">
        <v>72</v>
      </c>
      <c r="F10" s="23" t="s">
        <v>72</v>
      </c>
      <c r="G10" s="23" t="s">
        <v>72</v>
      </c>
      <c r="H10" s="23" t="s">
        <v>72</v>
      </c>
      <c r="I10" s="11" t="n">
        <f aca="false">IF($A10="","",COUNTIF($D10:$H10,"Y"))</f>
        <v>5</v>
      </c>
      <c r="J10" s="24" t="str">
        <f aca="false">IF($A10="","",IF($I10=5,"Yes - all five gates","No - close "&amp;(5-$I10)&amp;" gap(s) first"))</f>
        <v>Yes - all five gates</v>
      </c>
      <c r="K10" s="23" t="n">
        <v>4</v>
      </c>
      <c r="L10" s="23" t="n">
        <v>4</v>
      </c>
      <c r="M10" s="23" t="n">
        <v>3</v>
      </c>
      <c r="N10" s="23" t="n">
        <v>4</v>
      </c>
      <c r="O10" s="11" t="n">
        <f aca="false">IF($A10="","",$K10*'Read me'!$B$15+$L10*'Read me'!$B$16+$M10*'Read me'!$B$17+$N10*'Read me'!$B$18)</f>
        <v>30</v>
      </c>
      <c r="P10" s="25" t="n">
        <f aca="false">IF($A10="","",IFERROR(($O10-'Read me'!$B$19)/('Read me'!$B$19*4)*100,""))</f>
        <v>68.75</v>
      </c>
      <c r="Q10" s="23" t="n">
        <v>4</v>
      </c>
      <c r="R10" s="23" t="n">
        <v>4</v>
      </c>
      <c r="S10" s="23" t="n">
        <v>3</v>
      </c>
      <c r="T10" s="23" t="n">
        <v>2</v>
      </c>
      <c r="U10" s="11" t="n">
        <f aca="false">IF($A10="","",$Q10*'Read me'!$B$22+$R10*'Read me'!$B$23+$S10*'Read me'!$B$24+$T10*'Read me'!$B$25)</f>
        <v>32</v>
      </c>
      <c r="V10" s="25" t="n">
        <f aca="false">IF($A10="","",IFERROR(100-(($U10-'Read me'!$B$26)/('Read me'!$B$26*4)*100),""))</f>
        <v>36.1111111111111</v>
      </c>
      <c r="W10" s="24" t="str">
        <f aca="false">IF($A10="","",IF(AND($P10&gt;='Read me'!$B$29,$V10&gt;='Read me'!$B$30),"Build first",IF(AND($P10&gt;='Read me'!$B$29,$V10&lt;'Read me'!$B$30),"Sequence later",IF(AND($P10&lt;'Read me'!$B$29,$V10&gt;='Read me'!$B$30),"Fill capacity","Decline"))))</f>
        <v>Sequence later</v>
      </c>
      <c r="X10" s="25" t="n">
        <f aca="false">IF($A10="","",IFERROR(($P10*'Read me'!$B$31+$V10*'Read me'!$B$32)/('Read me'!$B$31+'Read me'!$B$32),""))</f>
        <v>57.3263888888889</v>
      </c>
      <c r="Y10" s="11" t="n">
        <f aca="false">IF($A10="","",SUMPRODUCT(ISNUMBER($X$5:$X$14)*($X$5:$X$14&gt;$X10))+1)</f>
        <v>5</v>
      </c>
    </row>
    <row r="11" customFormat="false" ht="30" hidden="false" customHeight="true" outlineLevel="0" collapsed="false">
      <c r="A11" s="21" t="s">
        <v>91</v>
      </c>
      <c r="B11" s="22" t="s">
        <v>92</v>
      </c>
      <c r="C11" s="22" t="s">
        <v>93</v>
      </c>
      <c r="D11" s="23" t="s">
        <v>72</v>
      </c>
      <c r="E11" s="23" t="s">
        <v>87</v>
      </c>
      <c r="F11" s="23" t="s">
        <v>72</v>
      </c>
      <c r="G11" s="23" t="s">
        <v>87</v>
      </c>
      <c r="H11" s="23" t="s">
        <v>72</v>
      </c>
      <c r="I11" s="11" t="n">
        <f aca="false">IF($A11="","",COUNTIF($D11:$H11,"Y"))</f>
        <v>3</v>
      </c>
      <c r="J11" s="24" t="str">
        <f aca="false">IF($A11="","",IF($I11=5,"Yes - all five gates","No - close "&amp;(5-$I11)&amp;" gap(s) first"))</f>
        <v>No - close 2 gap(s) first</v>
      </c>
      <c r="K11" s="23" t="n">
        <v>5</v>
      </c>
      <c r="L11" s="23" t="n">
        <v>2</v>
      </c>
      <c r="M11" s="23" t="n">
        <v>5</v>
      </c>
      <c r="N11" s="23" t="n">
        <v>3</v>
      </c>
      <c r="O11" s="11" t="n">
        <f aca="false">IF($A11="","",$K11*'Read me'!$B$15+$L11*'Read me'!$B$16+$M11*'Read me'!$B$17+$N11*'Read me'!$B$18)</f>
        <v>32</v>
      </c>
      <c r="P11" s="25" t="n">
        <f aca="false">IF($A11="","",IFERROR(($O11-'Read me'!$B$19)/('Read me'!$B$19*4)*100,""))</f>
        <v>75</v>
      </c>
      <c r="Q11" s="23" t="n">
        <v>5</v>
      </c>
      <c r="R11" s="23" t="n">
        <v>5</v>
      </c>
      <c r="S11" s="23" t="n">
        <v>5</v>
      </c>
      <c r="T11" s="23" t="n">
        <v>4</v>
      </c>
      <c r="U11" s="11" t="n">
        <f aca="false">IF($A11="","",$Q11*'Read me'!$B$22+$R11*'Read me'!$B$23+$S11*'Read me'!$B$24+$T11*'Read me'!$B$25)</f>
        <v>44</v>
      </c>
      <c r="V11" s="25" t="n">
        <f aca="false">IF($A11="","",IFERROR(100-(($U11-'Read me'!$B$26)/('Read me'!$B$26*4)*100),""))</f>
        <v>2.77777777777779</v>
      </c>
      <c r="W11" s="24" t="str">
        <f aca="false">IF($A11="","",IF(AND($P11&gt;='Read me'!$B$29,$V11&gt;='Read me'!$B$30),"Build first",IF(AND($P11&gt;='Read me'!$B$29,$V11&lt;'Read me'!$B$30),"Sequence later",IF(AND($P11&lt;'Read me'!$B$29,$V11&gt;='Read me'!$B$30),"Fill capacity","Decline"))))</f>
        <v>Sequence later</v>
      </c>
      <c r="X11" s="25" t="n">
        <f aca="false">IF($A11="","",IFERROR(($P11*'Read me'!$B$31+$V11*'Read me'!$B$32)/('Read me'!$B$31+'Read me'!$B$32),""))</f>
        <v>49.7222222222222</v>
      </c>
      <c r="Y11" s="11" t="n">
        <f aca="false">IF($A11="","",SUMPRODUCT(ISNUMBER($X$5:$X$14)*($X$5:$X$14&gt;$X11))+1)</f>
        <v>7</v>
      </c>
    </row>
    <row r="12" customFormat="false" ht="30" hidden="false" customHeight="true" outlineLevel="0" collapsed="false">
      <c r="A12" s="21" t="s">
        <v>94</v>
      </c>
      <c r="B12" s="22" t="s">
        <v>89</v>
      </c>
      <c r="C12" s="22" t="s">
        <v>95</v>
      </c>
      <c r="D12" s="23" t="s">
        <v>72</v>
      </c>
      <c r="E12" s="23" t="s">
        <v>72</v>
      </c>
      <c r="F12" s="23" t="s">
        <v>72</v>
      </c>
      <c r="G12" s="23" t="s">
        <v>87</v>
      </c>
      <c r="H12" s="23" t="s">
        <v>72</v>
      </c>
      <c r="I12" s="11" t="n">
        <f aca="false">IF($A12="","",COUNTIF($D12:$H12,"Y"))</f>
        <v>4</v>
      </c>
      <c r="J12" s="24" t="str">
        <f aca="false">IF($A12="","",IF($I12=5,"Yes - all five gates","No - close "&amp;(5-$I12)&amp;" gap(s) first"))</f>
        <v>No - close 1 gap(s) first</v>
      </c>
      <c r="K12" s="23" t="n">
        <v>5</v>
      </c>
      <c r="L12" s="23" t="n">
        <v>2</v>
      </c>
      <c r="M12" s="23" t="n">
        <v>4</v>
      </c>
      <c r="N12" s="23" t="n">
        <v>4</v>
      </c>
      <c r="O12" s="11" t="n">
        <f aca="false">IF($A12="","",$K12*'Read me'!$B$15+$L12*'Read me'!$B$16+$M12*'Read me'!$B$17+$N12*'Read me'!$B$18)</f>
        <v>31</v>
      </c>
      <c r="P12" s="25" t="n">
        <f aca="false">IF($A12="","",IFERROR(($O12-'Read me'!$B$19)/('Read me'!$B$19*4)*100,""))</f>
        <v>71.875</v>
      </c>
      <c r="Q12" s="23" t="n">
        <v>5</v>
      </c>
      <c r="R12" s="23" t="n">
        <v>5</v>
      </c>
      <c r="S12" s="23" t="n">
        <v>4</v>
      </c>
      <c r="T12" s="23" t="n">
        <v>3</v>
      </c>
      <c r="U12" s="11" t="n">
        <f aca="false">IF($A12="","",$Q12*'Read me'!$B$22+$R12*'Read me'!$B$23+$S12*'Read me'!$B$24+$T12*'Read me'!$B$25)</f>
        <v>41</v>
      </c>
      <c r="V12" s="25" t="n">
        <f aca="false">IF($A12="","",IFERROR(100-(($U12-'Read me'!$B$26)/('Read me'!$B$26*4)*100),""))</f>
        <v>11.1111111111111</v>
      </c>
      <c r="W12" s="24" t="str">
        <f aca="false">IF($A12="","",IF(AND($P12&gt;='Read me'!$B$29,$V12&gt;='Read me'!$B$30),"Build first",IF(AND($P12&gt;='Read me'!$B$29,$V12&lt;'Read me'!$B$30),"Sequence later",IF(AND($P12&lt;'Read me'!$B$29,$V12&gt;='Read me'!$B$30),"Fill capacity","Decline"))))</f>
        <v>Sequence later</v>
      </c>
      <c r="X12" s="25" t="n">
        <f aca="false">IF($A12="","",IFERROR(($P12*'Read me'!$B$31+$V12*'Read me'!$B$32)/('Read me'!$B$31+'Read me'!$B$32),""))</f>
        <v>50.6076388888889</v>
      </c>
      <c r="Y12" s="11" t="n">
        <f aca="false">IF($A12="","",SUMPRODUCT(ISNUMBER($X$5:$X$14)*($X$5:$X$14&gt;$X12))+1)</f>
        <v>6</v>
      </c>
    </row>
    <row r="13" customFormat="false" ht="30" hidden="false" customHeight="true" outlineLevel="0" collapsed="false">
      <c r="A13" s="21" t="s">
        <v>96</v>
      </c>
      <c r="B13" s="22" t="s">
        <v>97</v>
      </c>
      <c r="C13" s="22" t="s">
        <v>98</v>
      </c>
      <c r="D13" s="23" t="s">
        <v>72</v>
      </c>
      <c r="E13" s="23" t="s">
        <v>72</v>
      </c>
      <c r="F13" s="23" t="s">
        <v>87</v>
      </c>
      <c r="G13" s="23" t="s">
        <v>72</v>
      </c>
      <c r="H13" s="23" t="s">
        <v>87</v>
      </c>
      <c r="I13" s="11" t="n">
        <f aca="false">IF($A13="","",COUNTIF($D13:$H13,"Y"))</f>
        <v>3</v>
      </c>
      <c r="J13" s="24" t="str">
        <f aca="false">IF($A13="","",IF($I13=5,"Yes - all five gates","No - close "&amp;(5-$I13)&amp;" gap(s) first"))</f>
        <v>No - close 2 gap(s) first</v>
      </c>
      <c r="K13" s="23" t="n">
        <v>1</v>
      </c>
      <c r="L13" s="23" t="n">
        <v>4</v>
      </c>
      <c r="M13" s="23" t="n">
        <v>1</v>
      </c>
      <c r="N13" s="23" t="n">
        <v>1</v>
      </c>
      <c r="O13" s="11" t="n">
        <f aca="false">IF($A13="","",$K13*'Read me'!$B$15+$L13*'Read me'!$B$16+$M13*'Read me'!$B$17+$N13*'Read me'!$B$18)</f>
        <v>14</v>
      </c>
      <c r="P13" s="25" t="n">
        <f aca="false">IF($A13="","",IFERROR(($O13-'Read me'!$B$19)/('Read me'!$B$19*4)*100,""))</f>
        <v>18.75</v>
      </c>
      <c r="Q13" s="23" t="n">
        <v>1</v>
      </c>
      <c r="R13" s="23" t="n">
        <v>1</v>
      </c>
      <c r="S13" s="23" t="n">
        <v>1</v>
      </c>
      <c r="T13" s="23" t="n">
        <v>1</v>
      </c>
      <c r="U13" s="11" t="n">
        <f aca="false">IF($A13="","",$Q13*'Read me'!$B$22+$R13*'Read me'!$B$23+$S13*'Read me'!$B$24+$T13*'Read me'!$B$25)</f>
        <v>9</v>
      </c>
      <c r="V13" s="25" t="n">
        <f aca="false">IF($A13="","",IFERROR(100-(($U13-'Read me'!$B$26)/('Read me'!$B$26*4)*100),""))</f>
        <v>100</v>
      </c>
      <c r="W13" s="24" t="str">
        <f aca="false">IF($A13="","",IF(AND($P13&gt;='Read me'!$B$29,$V13&gt;='Read me'!$B$30),"Build first",IF(AND($P13&gt;='Read me'!$B$29,$V13&lt;'Read me'!$B$30),"Sequence later",IF(AND($P13&lt;'Read me'!$B$29,$V13&gt;='Read me'!$B$30),"Fill capacity","Decline"))))</f>
        <v>Fill capacity</v>
      </c>
      <c r="X13" s="25" t="n">
        <f aca="false">IF($A13="","",IFERROR(($P13*'Read me'!$B$31+$V13*'Read me'!$B$32)/('Read me'!$B$31+'Read me'!$B$32),""))</f>
        <v>47.1875</v>
      </c>
      <c r="Y13" s="11" t="n">
        <f aca="false">IF($A13="","",SUMPRODUCT(ISNUMBER($X$5:$X$14)*($X$5:$X$14&gt;$X13))+1)</f>
        <v>8</v>
      </c>
    </row>
    <row r="14" customFormat="false" ht="30" hidden="false" customHeight="true" outlineLevel="0" collapsed="false">
      <c r="A14" s="21" t="s">
        <v>99</v>
      </c>
      <c r="B14" s="22" t="s">
        <v>100</v>
      </c>
      <c r="C14" s="22" t="s">
        <v>101</v>
      </c>
      <c r="D14" s="23" t="s">
        <v>87</v>
      </c>
      <c r="E14" s="23" t="s">
        <v>87</v>
      </c>
      <c r="F14" s="23" t="s">
        <v>72</v>
      </c>
      <c r="G14" s="23" t="s">
        <v>87</v>
      </c>
      <c r="H14" s="23" t="s">
        <v>87</v>
      </c>
      <c r="I14" s="11" t="n">
        <f aca="false">IF($A14="","",COUNTIF($D14:$H14,"Y"))</f>
        <v>1</v>
      </c>
      <c r="J14" s="24" t="str">
        <f aca="false">IF($A14="","",IF($I14=5,"Yes - all five gates","No - close "&amp;(5-$I14)&amp;" gap(s) first"))</f>
        <v>No - close 4 gap(s) first</v>
      </c>
      <c r="K14" s="23" t="n">
        <v>2</v>
      </c>
      <c r="L14" s="23" t="n">
        <v>1</v>
      </c>
      <c r="M14" s="23" t="n">
        <v>5</v>
      </c>
      <c r="N14" s="23" t="n">
        <v>2</v>
      </c>
      <c r="O14" s="11" t="n">
        <f aca="false">IF($A14="","",$K14*'Read me'!$B$15+$L14*'Read me'!$B$16+$M14*'Read me'!$B$17+$N14*'Read me'!$B$18)</f>
        <v>20</v>
      </c>
      <c r="P14" s="25" t="n">
        <f aca="false">IF($A14="","",IFERROR(($O14-'Read me'!$B$19)/('Read me'!$B$19*4)*100,""))</f>
        <v>37.5</v>
      </c>
      <c r="Q14" s="23" t="n">
        <v>5</v>
      </c>
      <c r="R14" s="23" t="n">
        <v>5</v>
      </c>
      <c r="S14" s="23" t="n">
        <v>5</v>
      </c>
      <c r="T14" s="23" t="n">
        <v>3</v>
      </c>
      <c r="U14" s="11" t="n">
        <f aca="false">IF($A14="","",$Q14*'Read me'!$B$22+$R14*'Read me'!$B$23+$S14*'Read me'!$B$24+$T14*'Read me'!$B$25)</f>
        <v>43</v>
      </c>
      <c r="V14" s="25" t="n">
        <f aca="false">IF($A14="","",IFERROR(100-(($U14-'Read me'!$B$26)/('Read me'!$B$26*4)*100),""))</f>
        <v>5.55555555555556</v>
      </c>
      <c r="W14" s="24" t="str">
        <f aca="false">IF($A14="","",IF(AND($P14&gt;='Read me'!$B$29,$V14&gt;='Read me'!$B$30),"Build first",IF(AND($P14&gt;='Read me'!$B$29,$V14&lt;'Read me'!$B$30),"Sequence later",IF(AND($P14&lt;'Read me'!$B$29,$V14&gt;='Read me'!$B$30),"Fill capacity","Decline"))))</f>
        <v>Decline</v>
      </c>
      <c r="X14" s="25" t="n">
        <f aca="false">IF($A14="","",IFERROR(($P14*'Read me'!$B$31+$V14*'Read me'!$B$32)/('Read me'!$B$31+'Read me'!$B$32),""))</f>
        <v>26.3194444444444</v>
      </c>
      <c r="Y14" s="11" t="n">
        <f aca="false">IF($A14="","",SUMPRODUCT(ISNUMBER($X$5:$X$14)*($X$5:$X$14&gt;$X14))+1)</f>
        <v>10</v>
      </c>
    </row>
  </sheetData>
  <mergeCells count="5">
    <mergeCell ref="A3:C3"/>
    <mergeCell ref="D3:J3"/>
    <mergeCell ref="K3:P3"/>
    <mergeCell ref="Q3:V3"/>
    <mergeCell ref="W3:Y3"/>
  </mergeCells>
  <conditionalFormatting sqref="W5:W14">
    <cfRule type="expression" priority="2" aboveAverage="0" equalAverage="0" bottom="0" percent="0" rank="0" text="" dxfId="0">
      <formula>EXACT($W5,"Build first")</formula>
    </cfRule>
    <cfRule type="expression" priority="3" aboveAverage="0" equalAverage="0" bottom="0" percent="0" rank="0" text="" dxfId="1">
      <formula>EXACT($W5,"Sequence later")</formula>
    </cfRule>
    <cfRule type="expression" priority="4" aboveAverage="0" equalAverage="0" bottom="0" percent="0" rank="0" text="" dxfId="2">
      <formula>EXACT($W5,"Fill capacity")</formula>
    </cfRule>
    <cfRule type="expression" priority="5" aboveAverage="0" equalAverage="0" bottom="0" percent="0" rank="0" text="" dxfId="3">
      <formula>EXACT($W5,"Decline")</formula>
    </cfRule>
  </conditionalFormatting>
  <conditionalFormatting sqref="J5:J14">
    <cfRule type="expression" priority="6" aboveAverage="0" equalAverage="0" bottom="0" percent="0" rank="0" text="" dxfId="4">
      <formula>AND($A5&lt;&gt;"",$I5=5)</formula>
    </cfRule>
    <cfRule type="expression" priority="7" aboveAverage="0" equalAverage="0" bottom="0" percent="0" rank="0" text="" dxfId="5">
      <formula>AND($A5&lt;&gt;"",$I5&lt;5)</formula>
    </cfRule>
  </conditionalFormatting>
  <dataValidations count="2">
    <dataValidation allowBlank="true" error="Score this input from 1 to 5. See the Scoring guide tab." errorStyle="stop" errorTitle="Score 1-5" operator="between" showDropDown="false" showErrorMessage="true" showInputMessage="false" sqref="K5:N14 Q5:T14" type="whole">
      <formula1>1</formula1>
      <formula2>5</formula2>
    </dataValidation>
    <dataValidation allowBlank="true" error="Answer each gate with Y or N." errorStyle="stop" errorTitle="Y or N" operator="between" showDropDown="false" showErrorMessage="true" showInputMessage="false" sqref="D5:H1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7" min="3" style="0" width="26"/>
  </cols>
  <sheetData>
    <row r="1" customFormat="false" ht="19.7" hidden="false" customHeight="false" outlineLevel="0" collapsed="false">
      <c r="A1" s="13" t="s">
        <v>102</v>
      </c>
    </row>
    <row r="2" customFormat="false" ht="15" hidden="false" customHeight="false" outlineLevel="0" collapsed="false">
      <c r="A2" s="14" t="s">
        <v>103</v>
      </c>
    </row>
    <row r="3" customFormat="false" ht="15" hidden="false" customHeight="false" outlineLevel="0" collapsed="false">
      <c r="A3" s="14" t="s">
        <v>104</v>
      </c>
    </row>
    <row r="5" customFormat="false" ht="15" hidden="false" customHeight="false" outlineLevel="0" collapsed="false">
      <c r="A5" s="6" t="s">
        <v>105</v>
      </c>
    </row>
    <row r="6" customFormat="false" ht="15" hidden="false" customHeight="false" outlineLevel="0" collapsed="false">
      <c r="A6" s="19" t="s">
        <v>106</v>
      </c>
      <c r="B6" s="19" t="s">
        <v>107</v>
      </c>
      <c r="C6" s="19" t="s">
        <v>108</v>
      </c>
      <c r="D6" s="19" t="s">
        <v>109</v>
      </c>
    </row>
    <row r="7" customFormat="false" ht="43.5" hidden="false" customHeight="true" outlineLevel="0" collapsed="false">
      <c r="A7" s="26" t="s">
        <v>49</v>
      </c>
      <c r="B7" s="26" t="s">
        <v>110</v>
      </c>
      <c r="C7" s="27" t="s">
        <v>111</v>
      </c>
      <c r="D7" s="27" t="s">
        <v>112</v>
      </c>
    </row>
    <row r="8" customFormat="false" ht="43.5" hidden="false" customHeight="true" outlineLevel="0" collapsed="false">
      <c r="A8" s="26" t="s">
        <v>50</v>
      </c>
      <c r="B8" s="26" t="s">
        <v>113</v>
      </c>
      <c r="C8" s="27" t="s">
        <v>114</v>
      </c>
      <c r="D8" s="27" t="s">
        <v>115</v>
      </c>
    </row>
    <row r="9" customFormat="false" ht="43.5" hidden="false" customHeight="true" outlineLevel="0" collapsed="false">
      <c r="A9" s="26" t="s">
        <v>51</v>
      </c>
      <c r="B9" s="26" t="s">
        <v>116</v>
      </c>
      <c r="C9" s="27" t="s">
        <v>117</v>
      </c>
      <c r="D9" s="27" t="s">
        <v>118</v>
      </c>
    </row>
    <row r="10" customFormat="false" ht="43.5" hidden="false" customHeight="true" outlineLevel="0" collapsed="false">
      <c r="A10" s="26" t="s">
        <v>52</v>
      </c>
      <c r="B10" s="26" t="s">
        <v>119</v>
      </c>
      <c r="C10" s="27" t="s">
        <v>120</v>
      </c>
      <c r="D10" s="27" t="s">
        <v>121</v>
      </c>
    </row>
    <row r="11" customFormat="false" ht="43.5" hidden="false" customHeight="true" outlineLevel="0" collapsed="false">
      <c r="A11" s="26" t="s">
        <v>53</v>
      </c>
      <c r="B11" s="26" t="s">
        <v>122</v>
      </c>
      <c r="C11" s="27" t="s">
        <v>123</v>
      </c>
      <c r="D11" s="27" t="s">
        <v>124</v>
      </c>
    </row>
    <row r="14" customFormat="false" ht="15" hidden="false" customHeight="false" outlineLevel="0" collapsed="false">
      <c r="A14" s="6" t="s">
        <v>125</v>
      </c>
    </row>
    <row r="15" customFormat="false" ht="15" hidden="false" customHeight="true" outlineLevel="0" collapsed="false">
      <c r="A15" s="19" t="s">
        <v>126</v>
      </c>
      <c r="B15" s="19"/>
      <c r="C15" s="19" t="s">
        <v>127</v>
      </c>
      <c r="D15" s="19" t="s">
        <v>128</v>
      </c>
      <c r="E15" s="19" t="s">
        <v>129</v>
      </c>
      <c r="F15" s="19" t="s">
        <v>130</v>
      </c>
      <c r="G15" s="19" t="s">
        <v>131</v>
      </c>
    </row>
    <row r="16" customFormat="false" ht="39.75" hidden="false" customHeight="true" outlineLevel="0" collapsed="false">
      <c r="A16" s="26" t="s">
        <v>13</v>
      </c>
      <c r="B16" s="26"/>
      <c r="C16" s="27" t="s">
        <v>132</v>
      </c>
      <c r="D16" s="27" t="s">
        <v>133</v>
      </c>
      <c r="E16" s="27" t="s">
        <v>134</v>
      </c>
      <c r="F16" s="27" t="s">
        <v>135</v>
      </c>
      <c r="G16" s="27" t="s">
        <v>136</v>
      </c>
    </row>
    <row r="17" customFormat="false" ht="39.75" hidden="false" customHeight="true" outlineLevel="0" collapsed="false">
      <c r="A17" s="26" t="s">
        <v>14</v>
      </c>
      <c r="B17" s="26"/>
      <c r="C17" s="27" t="s">
        <v>137</v>
      </c>
      <c r="D17" s="27" t="s">
        <v>138</v>
      </c>
      <c r="E17" s="27" t="s">
        <v>139</v>
      </c>
      <c r="F17" s="27" t="s">
        <v>140</v>
      </c>
      <c r="G17" s="27" t="s">
        <v>141</v>
      </c>
    </row>
    <row r="18" customFormat="false" ht="39.75" hidden="false" customHeight="true" outlineLevel="0" collapsed="false">
      <c r="A18" s="26" t="s">
        <v>15</v>
      </c>
      <c r="B18" s="26"/>
      <c r="C18" s="27" t="s">
        <v>142</v>
      </c>
      <c r="D18" s="27" t="s">
        <v>143</v>
      </c>
      <c r="E18" s="27" t="s">
        <v>144</v>
      </c>
      <c r="F18" s="27" t="s">
        <v>145</v>
      </c>
      <c r="G18" s="27" t="s">
        <v>146</v>
      </c>
    </row>
    <row r="19" customFormat="false" ht="39.75" hidden="false" customHeight="true" outlineLevel="0" collapsed="false">
      <c r="A19" s="26" t="s">
        <v>16</v>
      </c>
      <c r="B19" s="26"/>
      <c r="C19" s="27" t="s">
        <v>147</v>
      </c>
      <c r="D19" s="27" t="s">
        <v>148</v>
      </c>
      <c r="E19" s="27" t="s">
        <v>149</v>
      </c>
      <c r="F19" s="27" t="s">
        <v>150</v>
      </c>
      <c r="G19" s="27" t="s">
        <v>151</v>
      </c>
    </row>
    <row r="22" customFormat="false" ht="15" hidden="false" customHeight="false" outlineLevel="0" collapsed="false">
      <c r="A22" s="6" t="s">
        <v>152</v>
      </c>
    </row>
    <row r="23" customFormat="false" ht="15" hidden="false" customHeight="true" outlineLevel="0" collapsed="false">
      <c r="A23" s="19" t="s">
        <v>126</v>
      </c>
      <c r="B23" s="19"/>
      <c r="C23" s="19" t="s">
        <v>127</v>
      </c>
      <c r="D23" s="19" t="s">
        <v>128</v>
      </c>
      <c r="E23" s="19" t="s">
        <v>129</v>
      </c>
      <c r="F23" s="19" t="s">
        <v>130</v>
      </c>
      <c r="G23" s="19" t="s">
        <v>131</v>
      </c>
    </row>
    <row r="24" customFormat="false" ht="39.75" hidden="false" customHeight="true" outlineLevel="0" collapsed="false">
      <c r="A24" s="26" t="s">
        <v>19</v>
      </c>
      <c r="B24" s="26"/>
      <c r="C24" s="27" t="s">
        <v>153</v>
      </c>
      <c r="D24" s="27" t="s">
        <v>154</v>
      </c>
      <c r="E24" s="27" t="s">
        <v>155</v>
      </c>
      <c r="F24" s="27" t="s">
        <v>156</v>
      </c>
      <c r="G24" s="27" t="s">
        <v>157</v>
      </c>
    </row>
    <row r="25" customFormat="false" ht="39.75" hidden="false" customHeight="true" outlineLevel="0" collapsed="false">
      <c r="A25" s="26" t="s">
        <v>20</v>
      </c>
      <c r="B25" s="26"/>
      <c r="C25" s="27" t="s">
        <v>158</v>
      </c>
      <c r="D25" s="27" t="s">
        <v>159</v>
      </c>
      <c r="E25" s="27" t="s">
        <v>160</v>
      </c>
      <c r="F25" s="27" t="s">
        <v>161</v>
      </c>
      <c r="G25" s="27" t="s">
        <v>162</v>
      </c>
    </row>
    <row r="26" customFormat="false" ht="39.75" hidden="false" customHeight="true" outlineLevel="0" collapsed="false">
      <c r="A26" s="26" t="s">
        <v>21</v>
      </c>
      <c r="B26" s="26"/>
      <c r="C26" s="27" t="s">
        <v>163</v>
      </c>
      <c r="D26" s="27" t="s">
        <v>164</v>
      </c>
      <c r="E26" s="27" t="s">
        <v>165</v>
      </c>
      <c r="F26" s="27" t="s">
        <v>166</v>
      </c>
      <c r="G26" s="27" t="s">
        <v>167</v>
      </c>
    </row>
    <row r="27" customFormat="false" ht="39.75" hidden="false" customHeight="true" outlineLevel="0" collapsed="false">
      <c r="A27" s="26" t="s">
        <v>22</v>
      </c>
      <c r="B27" s="26"/>
      <c r="C27" s="27" t="s">
        <v>168</v>
      </c>
      <c r="D27" s="27" t="s">
        <v>169</v>
      </c>
      <c r="E27" s="27" t="s">
        <v>170</v>
      </c>
      <c r="F27" s="27" t="s">
        <v>171</v>
      </c>
      <c r="G27" s="27" t="s">
        <v>172</v>
      </c>
    </row>
    <row r="30" customFormat="false" ht="15" hidden="false" customHeight="false" outlineLevel="0" collapsed="false">
      <c r="A30" s="28" t="s">
        <v>173</v>
      </c>
    </row>
  </sheetData>
  <mergeCells count="10">
    <mergeCell ref="A15:B15"/>
    <mergeCell ref="A16:B16"/>
    <mergeCell ref="A17:B17"/>
    <mergeCell ref="A18:B18"/>
    <mergeCell ref="A19:B19"/>
    <mergeCell ref="A23:B23"/>
    <mergeCell ref="A24:B24"/>
    <mergeCell ref="A25:B25"/>
    <mergeCell ref="A26:B26"/>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2026-08-17T11:44:00Z</dcterms:created>
  <dc:creator>openpyxl</dc:creator>
  <dc:description/>
  <dc:language>en-US</dc:language>
  <cp:lastModifiedBy/>
  <dcterms:modified xsi:type="dcterms:W3CDTF">2026-08-17T11:44:00Z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